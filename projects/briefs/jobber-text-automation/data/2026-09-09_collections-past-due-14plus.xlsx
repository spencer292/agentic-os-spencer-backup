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l list" sheetId="1" r:id="rId1"/>
    <sheet name="Invoice detail" sheetId="2" r:id="rId2"/>
    <sheet name="Summary" sheetId="3" r:id="rId3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rgb="FF0563C1"/>
      <u/>
      <name val="Calibri"/>
    </font>
    <font>
      <b/>
      <sz val="15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1" xfId="0" applyBorder="1"/>
    <xf numFmtId="0" fontId="1" fillId="2" borderId="0" xfId="0" applyFont="1" applyFill="1" applyAlignment="1">
      <alignment vertical="center" wrapText="1"/>
    </xf>
    <xf numFmtId="164" fontId="0" fillId="0" borderId="1" xfId="0" applyNumberFormat="1" applyBorder="1"/>
    <xf numFmtId="0" fontId="0" fillId="0" borderId="1" xfId="0" applyBorder="1" applyAlignment="1">
      <alignment wrapText="1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3">
    <dxf>
      <font>
        <color rgb="FF375623"/>
      </font>
      <fill>
        <patternFill>
          <bgColor rgb="FFC6EFCE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808080"/>
        <strike/>
      </font>
      <fill>
        <patternFill>
          <bgColor rgb="FFF2F2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/>
    <col min="2" max="2" width="26" customWidth="1"/>
    <col min="3" max="3" width="12" customWidth="1"/>
    <col min="4" max="4" width="7" customWidth="1"/>
    <col min="5" max="5" width="6" customWidth="1"/>
    <col min="6" max="6" width="12" customWidth="1"/>
    <col min="7" max="7" width="16" customWidth="1"/>
    <col min="8" max="8" width="12" customWidth="1"/>
    <col min="9" max="9" width="30" customWidth="1"/>
    <col min="10" max="10" width="13" customWidth="1"/>
    <col min="11" max="11" width="40" customWidth="1"/>
  </cols>
  <sheetData>
    <row r="1" ht="30" customHeight="1">
      <c r="A1" s="1" t="inlineStr">
        <is>
          <t xml:space="preserve">Status</t>
        </is>
      </c>
      <c r="B1" s="1" t="inlineStr">
        <is>
          <t xml:space="preserve">Client</t>
        </is>
      </c>
      <c r="C1" s="1" t="inlineStr">
        <is>
          <t xml:space="preserve">Owes</t>
        </is>
      </c>
      <c r="D1" s="1" t="inlineStr">
        <is>
          <t xml:space="preserve">Days</t>
        </is>
      </c>
      <c r="E1" s="1" t="inlineStr">
        <is>
          <t xml:space="preserve">Inv</t>
        </is>
      </c>
      <c r="F1" s="1" t="inlineStr">
        <is>
          <t xml:space="preserve">Card on file</t>
        </is>
      </c>
      <c r="G1" s="1" t="inlineStr">
        <is>
          <t xml:space="preserve">Phone</t>
        </is>
      </c>
      <c r="H1" s="1" t="inlineStr">
        <is>
          <t xml:space="preserve">Last texted</t>
        </is>
      </c>
      <c r="I1" s="1" t="inlineStr">
        <is>
          <t xml:space="preserve">Flags</t>
        </is>
      </c>
      <c r="J1" s="1" t="inlineStr">
        <is>
          <t xml:space="preserve">Collected $</t>
        </is>
      </c>
      <c r="K1" s="1" t="inlineStr">
        <is>
          <t xml:space="preserve">Notes</t>
        </is>
      </c>
    </row>
    <row r="2">
      <c r="A2" s="5" t="inlineStr">
        <is>
          <t xml:space="preserve">Not started</t>
        </is>
      </c>
      <c r="B2" t="inlineStr">
        <is>
          <t xml:space="preserve">Western Plaza</t>
        </is>
      </c>
      <c r="C2" s="2">
        <v>500</v>
      </c>
      <c r="D2" s="4">
        <v>41</v>
      </c>
      <c r="E2" s="4">
        <v>1</v>
      </c>
      <c r="F2" s="4" t="inlineStr">
        <is>
          <t xml:space="preserve">-</t>
        </is>
      </c>
      <c r="G2" t="inlineStr">
        <is>
          <t xml:space="preserve">360-529-6303</t>
        </is>
      </c>
      <c r="H2" s="4" t="inlineStr">
        <is>
          <t xml:space="preserve">never</t>
        </is>
      </c>
      <c r="I2" s="3" t="inlineStr">
        <is>
          <t xml:space="preserve">never opened invoice</t>
        </is>
      </c>
      <c r="J2" s="2"/>
      <c r="K2" s="3"/>
    </row>
    <row r="3">
      <c r="A3" s="5" t="inlineStr">
        <is>
          <t xml:space="preserve">Not started</t>
        </is>
      </c>
      <c r="B3" t="inlineStr">
        <is>
          <t xml:space="preserve">Thomas Spring Estates</t>
        </is>
      </c>
      <c r="C3" s="2">
        <v>400</v>
      </c>
      <c r="D3" s="4">
        <v>71</v>
      </c>
      <c r="E3" s="4">
        <v>2</v>
      </c>
      <c r="F3" s="4" t="inlineStr">
        <is>
          <t xml:space="preserve">-</t>
        </is>
      </c>
      <c r="G3" t="inlineStr">
        <is>
          <t xml:space="preserve">253 840-1200</t>
        </is>
      </c>
      <c r="H3" s="4" t="inlineStr">
        <is>
          <t xml:space="preserve">never</t>
        </is>
      </c>
      <c r="I3" s="3" t="inlineStr">
        <is>
          <t xml:space="preserve">never opened invoice</t>
        </is>
      </c>
      <c r="J3" s="2"/>
      <c r="K3" s="3"/>
    </row>
    <row r="4">
      <c r="A4" s="5" t="inlineStr">
        <is>
          <t xml:space="preserve">Not started</t>
        </is>
      </c>
      <c r="B4" t="inlineStr">
        <is>
          <t xml:space="preserve">Jody Sanders</t>
        </is>
      </c>
      <c r="C4" s="2">
        <v>375</v>
      </c>
      <c r="D4" s="4">
        <v>16</v>
      </c>
      <c r="E4" s="4">
        <v>1</v>
      </c>
      <c r="F4" s="4" t="inlineStr">
        <is>
          <t xml:space="preserve">-</t>
        </is>
      </c>
      <c r="G4" t="inlineStr">
        <is>
          <t xml:space="preserve">2532612070</t>
        </is>
      </c>
      <c r="H4" s="4" t="inlineStr">
        <is>
          <t xml:space="preserve">never</t>
        </is>
      </c>
      <c r="I4" s="3" t="inlineStr">
        <is>
          <t xml:space="preserve">never opened invoice</t>
        </is>
      </c>
      <c r="J4" s="2"/>
      <c r="K4" s="3"/>
    </row>
    <row r="5">
      <c r="A5" s="5" t="inlineStr">
        <is>
          <t xml:space="preserve">Not started</t>
        </is>
      </c>
      <c r="B5" t="inlineStr">
        <is>
          <t xml:space="preserve">Jay Poole</t>
        </is>
      </c>
      <c r="C5" s="2">
        <v>375</v>
      </c>
      <c r="D5" s="4">
        <v>20</v>
      </c>
      <c r="E5" s="4">
        <v>1</v>
      </c>
      <c r="F5" s="4" t="inlineStr">
        <is>
          <t xml:space="preserve">YES</t>
        </is>
      </c>
      <c r="G5" t="inlineStr">
        <is>
          <t xml:space="preserve">253-740-7621</t>
        </is>
      </c>
      <c r="H5" s="4" t="inlineStr">
        <is>
          <t xml:space="preserve">never</t>
        </is>
      </c>
      <c r="I5" s="3" t="inlineStr">
        <is>
          <t xml:space="preserve">never opened invoice</t>
        </is>
      </c>
      <c r="J5" s="2"/>
      <c r="K5" s="3"/>
    </row>
    <row r="6">
      <c r="A6" s="5" t="inlineStr">
        <is>
          <t xml:space="preserve">Not started</t>
        </is>
      </c>
      <c r="B6" t="inlineStr">
        <is>
          <t xml:space="preserve">Jared Barrett</t>
        </is>
      </c>
      <c r="C6" s="2">
        <v>375</v>
      </c>
      <c r="D6" s="4">
        <v>22</v>
      </c>
      <c r="E6" s="4">
        <v>1</v>
      </c>
      <c r="F6" s="4" t="inlineStr">
        <is>
          <t xml:space="preserve">YES</t>
        </is>
      </c>
      <c r="G6" t="inlineStr">
        <is>
          <t xml:space="preserve">2536862544</t>
        </is>
      </c>
      <c r="H6" s="4" t="inlineStr">
        <is>
          <t xml:space="preserve">never</t>
        </is>
      </c>
      <c r="I6" s="3" t="inlineStr">
        <is>
          <t xml:space="preserve">never opened invoice</t>
        </is>
      </c>
      <c r="J6" s="2"/>
      <c r="K6" s="3"/>
    </row>
    <row r="7">
      <c r="A7" s="5" t="inlineStr">
        <is>
          <t xml:space="preserve">Not started</t>
        </is>
      </c>
      <c r="B7" t="inlineStr">
        <is>
          <t xml:space="preserve">Kyle MacVicar</t>
        </is>
      </c>
      <c r="C7" s="2">
        <v>375</v>
      </c>
      <c r="D7" s="4">
        <v>35</v>
      </c>
      <c r="E7" s="4">
        <v>1</v>
      </c>
      <c r="F7" s="4" t="inlineStr">
        <is>
          <t xml:space="preserve">YES</t>
        </is>
      </c>
      <c r="G7" t="inlineStr">
        <is>
          <t xml:space="preserve">4255911217</t>
        </is>
      </c>
      <c r="H7" s="4" t="inlineStr">
        <is>
          <t xml:space="preserve">2026-08-18</t>
        </is>
      </c>
      <c r="I7" s="3" t="inlineStr">
        <is>
          <t xml:space="preserve"/>
        </is>
      </c>
      <c r="J7" s="2"/>
      <c r="K7" s="3"/>
    </row>
    <row r="8">
      <c r="A8" s="5" t="inlineStr">
        <is>
          <t xml:space="preserve">Not started</t>
        </is>
      </c>
      <c r="B8" t="inlineStr">
        <is>
          <t xml:space="preserve">Julie Dance</t>
        </is>
      </c>
      <c r="C8" s="2">
        <v>375</v>
      </c>
      <c r="D8" s="4">
        <v>47</v>
      </c>
      <c r="E8" s="4">
        <v>1</v>
      </c>
      <c r="F8" s="4" t="inlineStr">
        <is>
          <t xml:space="preserve">YES</t>
        </is>
      </c>
      <c r="G8" t="inlineStr">
        <is>
          <t xml:space="preserve">206-999-7600</t>
        </is>
      </c>
      <c r="H8" s="4" t="inlineStr">
        <is>
          <t xml:space="preserve">2026-08-12</t>
        </is>
      </c>
      <c r="I8" s="3" t="inlineStr">
        <is>
          <t xml:space="preserve">never opened invoice</t>
        </is>
      </c>
      <c r="J8" s="2"/>
      <c r="K8" s="3"/>
    </row>
    <row r="9">
      <c r="A9" s="5" t="inlineStr">
        <is>
          <t xml:space="preserve">Not started</t>
        </is>
      </c>
      <c r="B9" t="inlineStr">
        <is>
          <t xml:space="preserve">Nancy Parkes</t>
        </is>
      </c>
      <c r="C9" s="2">
        <v>375</v>
      </c>
      <c r="D9" s="4">
        <v>100</v>
      </c>
      <c r="E9" s="4">
        <v>1</v>
      </c>
      <c r="F9" s="4" t="inlineStr">
        <is>
          <t xml:space="preserve">YES</t>
        </is>
      </c>
      <c r="G9" t="inlineStr">
        <is>
          <t xml:space="preserve">360-280-0580</t>
        </is>
      </c>
      <c r="H9" s="4" t="inlineStr">
        <is>
          <t xml:space="preserve">2026-08-11</t>
        </is>
      </c>
      <c r="I9" s="3" t="inlineStr">
        <is>
          <t xml:space="preserve">never opened invoice</t>
        </is>
      </c>
      <c r="J9" s="2"/>
      <c r="K9" s="3"/>
    </row>
    <row r="10">
      <c r="A10" s="5" t="inlineStr">
        <is>
          <t xml:space="preserve">Not started</t>
        </is>
      </c>
      <c r="B10" t="inlineStr">
        <is>
          <t xml:space="preserve">Jenna Larson</t>
        </is>
      </c>
      <c r="C10" s="2">
        <v>300</v>
      </c>
      <c r="D10" s="4">
        <v>34</v>
      </c>
      <c r="E10" s="4">
        <v>1</v>
      </c>
      <c r="F10" s="4" t="inlineStr">
        <is>
          <t xml:space="preserve">YES</t>
        </is>
      </c>
      <c r="G10" t="inlineStr">
        <is>
          <t xml:space="preserve">(253) 228-6145</t>
        </is>
      </c>
      <c r="H10" s="4" t="inlineStr">
        <is>
          <t xml:space="preserve">2026-08-18</t>
        </is>
      </c>
      <c r="I10" s="3" t="inlineStr">
        <is>
          <t xml:space="preserve">never opened invoice</t>
        </is>
      </c>
      <c r="J10" s="2"/>
      <c r="K10" s="3"/>
    </row>
    <row r="11">
      <c r="A11" s="5" t="inlineStr">
        <is>
          <t xml:space="preserve">Not started</t>
        </is>
      </c>
      <c r="B11" t="inlineStr">
        <is>
          <t xml:space="preserve">Deborah Larry</t>
        </is>
      </c>
      <c r="C11" s="2">
        <v>300</v>
      </c>
      <c r="D11" s="4">
        <v>101</v>
      </c>
      <c r="E11" s="4">
        <v>3</v>
      </c>
      <c r="F11" s="4" t="inlineStr">
        <is>
          <t xml:space="preserve">YES</t>
        </is>
      </c>
      <c r="G11" t="inlineStr">
        <is>
          <t xml:space="preserve">2063803393</t>
        </is>
      </c>
      <c r="H11" s="4" t="inlineStr">
        <is>
          <t xml:space="preserve">2026-08-11</t>
        </is>
      </c>
      <c r="I11" s="3" t="inlineStr">
        <is>
          <t xml:space="preserve">never opened invoice</t>
        </is>
      </c>
      <c r="J11" s="2"/>
      <c r="K11" s="3"/>
    </row>
    <row r="12">
      <c r="A12" s="5" t="inlineStr">
        <is>
          <t xml:space="preserve">Not started</t>
        </is>
      </c>
      <c r="B12" t="inlineStr">
        <is>
          <t xml:space="preserve">Dennis Scroggins</t>
        </is>
      </c>
      <c r="C12" s="2">
        <v>255</v>
      </c>
      <c r="D12" s="4">
        <v>101</v>
      </c>
      <c r="E12" s="4">
        <v>3</v>
      </c>
      <c r="F12" s="4" t="inlineStr">
        <is>
          <t xml:space="preserve">YES</t>
        </is>
      </c>
      <c r="G12" t="inlineStr">
        <is>
          <t xml:space="preserve">2536061748</t>
        </is>
      </c>
      <c r="H12" s="4" t="inlineStr">
        <is>
          <t xml:space="preserve">2026-08-11</t>
        </is>
      </c>
      <c r="I12" s="3" t="inlineStr">
        <is>
          <t xml:space="preserve">never opened invoice</t>
        </is>
      </c>
      <c r="J12" s="2"/>
      <c r="K12" s="3"/>
    </row>
    <row r="13">
      <c r="A13" s="5" t="inlineStr">
        <is>
          <t xml:space="preserve">Not started</t>
        </is>
      </c>
      <c r="B13" t="inlineStr">
        <is>
          <t xml:space="preserve">Eliav Coen</t>
        </is>
      </c>
      <c r="C13" s="2">
        <v>200</v>
      </c>
      <c r="D13" s="4">
        <v>71</v>
      </c>
      <c r="E13" s="4">
        <v>2</v>
      </c>
      <c r="F13" s="4" t="inlineStr">
        <is>
          <t xml:space="preserve">YES</t>
        </is>
      </c>
      <c r="G13" t="inlineStr">
        <is>
          <t xml:space="preserve">206-588-9788</t>
        </is>
      </c>
      <c r="H13" s="4" t="inlineStr">
        <is>
          <t xml:space="preserve">2026-08-12</t>
        </is>
      </c>
      <c r="I13" s="3" t="inlineStr">
        <is>
          <t xml:space="preserve">never opened invoice</t>
        </is>
      </c>
      <c r="J13" s="2"/>
      <c r="K13" s="3"/>
    </row>
    <row r="14">
      <c r="A14" s="5" t="inlineStr">
        <is>
          <t xml:space="preserve">Not started</t>
        </is>
      </c>
      <c r="B14" t="inlineStr">
        <is>
          <t xml:space="preserve">Skookum Archers</t>
        </is>
      </c>
      <c r="C14" s="2">
        <v>155</v>
      </c>
      <c r="D14" s="4">
        <v>41</v>
      </c>
      <c r="E14" s="4">
        <v>1</v>
      </c>
      <c r="F14" s="4" t="inlineStr">
        <is>
          <t xml:space="preserve">-</t>
        </is>
      </c>
      <c r="G14" t="inlineStr">
        <is>
          <t xml:space="preserve">2537789708</t>
        </is>
      </c>
      <c r="H14" s="4" t="inlineStr">
        <is>
          <t xml:space="preserve">never</t>
        </is>
      </c>
      <c r="I14" s="3" t="inlineStr">
        <is>
          <t xml:space="preserve">never opened invoice</t>
        </is>
      </c>
      <c r="J14" s="2"/>
      <c r="K14" s="3"/>
    </row>
    <row r="15">
      <c r="A15" s="5" t="inlineStr">
        <is>
          <t xml:space="preserve">Not started</t>
        </is>
      </c>
      <c r="B15" t="inlineStr">
        <is>
          <t xml:space="preserve">Tehaleh Owners Association</t>
        </is>
      </c>
      <c r="C15" s="2">
        <v>150</v>
      </c>
      <c r="D15" s="4">
        <v>41</v>
      </c>
      <c r="E15" s="4">
        <v>1</v>
      </c>
      <c r="F15" s="4" t="inlineStr">
        <is>
          <t xml:space="preserve">YES</t>
        </is>
      </c>
      <c r="G15" t="inlineStr">
        <is>
          <t xml:space="preserve">2536863855</t>
        </is>
      </c>
      <c r="H15" s="4" t="inlineStr">
        <is>
          <t xml:space="preserve">never</t>
        </is>
      </c>
      <c r="I15" s="3" t="inlineStr">
        <is>
          <t xml:space="preserve"/>
        </is>
      </c>
      <c r="J15" s="2"/>
      <c r="K15" s="3"/>
    </row>
    <row r="16">
      <c r="A16" s="5" t="inlineStr">
        <is>
          <t xml:space="preserve">Not started</t>
        </is>
      </c>
      <c r="B16" t="inlineStr">
        <is>
          <t xml:space="preserve">Kathy Wilson</t>
        </is>
      </c>
      <c r="C16" s="2">
        <v>125</v>
      </c>
      <c r="D16" s="4">
        <v>40</v>
      </c>
      <c r="E16" s="4">
        <v>1</v>
      </c>
      <c r="F16" s="4" t="inlineStr">
        <is>
          <t xml:space="preserve">YES</t>
        </is>
      </c>
      <c r="G16" t="inlineStr">
        <is>
          <t xml:space="preserve">4255773785</t>
        </is>
      </c>
      <c r="H16" s="4" t="inlineStr">
        <is>
          <t xml:space="preserve">2026-08-12</t>
        </is>
      </c>
      <c r="I16" s="3" t="inlineStr">
        <is>
          <t xml:space="preserve">never opened invoice</t>
        </is>
      </c>
      <c r="J16" s="2"/>
      <c r="K16" s="3"/>
    </row>
    <row r="17">
      <c r="A17" s="5" t="inlineStr">
        <is>
          <t xml:space="preserve">Not started</t>
        </is>
      </c>
      <c r="B17" t="inlineStr">
        <is>
          <t xml:space="preserve">Cushman &amp; Wakefield</t>
        </is>
      </c>
      <c r="C17" s="2">
        <v>125</v>
      </c>
      <c r="D17" s="4">
        <v>40</v>
      </c>
      <c r="E17" s="4">
        <v>1</v>
      </c>
      <c r="F17" s="4" t="inlineStr">
        <is>
          <t xml:space="preserve">-</t>
        </is>
      </c>
      <c r="G17" t="inlineStr">
        <is>
          <t xml:space="preserve">425-503-6532</t>
        </is>
      </c>
      <c r="H17" s="4" t="inlineStr">
        <is>
          <t xml:space="preserve">2026-08-12</t>
        </is>
      </c>
      <c r="I17" s="3" t="inlineStr">
        <is>
          <t xml:space="preserve"/>
        </is>
      </c>
      <c r="J17" s="2"/>
      <c r="K17" s="3"/>
    </row>
    <row r="18">
      <c r="A18" s="5" t="inlineStr">
        <is>
          <t xml:space="preserve">Not started</t>
        </is>
      </c>
      <c r="B18" t="inlineStr">
        <is>
          <t xml:space="preserve">Greg Anderson</t>
        </is>
      </c>
      <c r="C18" s="2">
        <v>100</v>
      </c>
      <c r="D18" s="4">
        <v>40</v>
      </c>
      <c r="E18" s="4">
        <v>1</v>
      </c>
      <c r="F18" s="4" t="inlineStr">
        <is>
          <t xml:space="preserve">-</t>
        </is>
      </c>
      <c r="G18" t="inlineStr">
        <is>
          <t xml:space="preserve">4257653115</t>
        </is>
      </c>
      <c r="H18" s="4" t="inlineStr">
        <is>
          <t xml:space="preserve">2026-08-12</t>
        </is>
      </c>
      <c r="I18" s="3" t="inlineStr">
        <is>
          <t xml:space="preserve">never opened invoice</t>
        </is>
      </c>
      <c r="J18" s="2"/>
      <c r="K18" s="3"/>
    </row>
    <row r="19">
      <c r="A19" s="5" t="inlineStr">
        <is>
          <t xml:space="preserve">Not started</t>
        </is>
      </c>
      <c r="B19" t="inlineStr">
        <is>
          <t xml:space="preserve">McKenzie Dickson</t>
        </is>
      </c>
      <c r="C19" s="2">
        <v>100</v>
      </c>
      <c r="D19" s="4">
        <v>40</v>
      </c>
      <c r="E19" s="4">
        <v>1</v>
      </c>
      <c r="F19" s="4" t="inlineStr">
        <is>
          <t xml:space="preserve">YES</t>
        </is>
      </c>
      <c r="G19" t="inlineStr">
        <is>
          <t xml:space="preserve">253-250-3420</t>
        </is>
      </c>
      <c r="H19" s="4" t="inlineStr">
        <is>
          <t xml:space="preserve">2026-08-12</t>
        </is>
      </c>
      <c r="I19" s="3" t="inlineStr">
        <is>
          <t xml:space="preserve">never opened invoice</t>
        </is>
      </c>
      <c r="J19" s="2"/>
      <c r="K19" s="3"/>
    </row>
    <row r="20">
      <c r="A20" s="5" t="inlineStr">
        <is>
          <t xml:space="preserve">Not started</t>
        </is>
      </c>
      <c r="B20" t="inlineStr">
        <is>
          <t xml:space="preserve">Lauren Kenyon</t>
        </is>
      </c>
      <c r="C20" s="2">
        <v>100</v>
      </c>
      <c r="D20" s="4">
        <v>40</v>
      </c>
      <c r="E20" s="4">
        <v>1</v>
      </c>
      <c r="F20" s="4" t="inlineStr">
        <is>
          <t xml:space="preserve">YES</t>
        </is>
      </c>
      <c r="G20" t="inlineStr">
        <is>
          <t xml:space="preserve">9014818076</t>
        </is>
      </c>
      <c r="H20" s="4" t="inlineStr">
        <is>
          <t xml:space="preserve">2026-08-12</t>
        </is>
      </c>
      <c r="I20" s="3" t="inlineStr">
        <is>
          <t xml:space="preserve">never opened invoice</t>
        </is>
      </c>
      <c r="J20" s="2"/>
      <c r="K20" s="3"/>
    </row>
    <row r="21">
      <c r="A21" s="5" t="inlineStr">
        <is>
          <t xml:space="preserve">Not started</t>
        </is>
      </c>
      <c r="B21" t="inlineStr">
        <is>
          <t xml:space="preserve">Joel Coons</t>
        </is>
      </c>
      <c r="C21" s="2">
        <v>100</v>
      </c>
      <c r="D21" s="4">
        <v>40</v>
      </c>
      <c r="E21" s="4">
        <v>1</v>
      </c>
      <c r="F21" s="4" t="inlineStr">
        <is>
          <t xml:space="preserve">-</t>
        </is>
      </c>
      <c r="G21" t="inlineStr">
        <is>
          <t xml:space="preserve">4259226400</t>
        </is>
      </c>
      <c r="H21" s="4" t="inlineStr">
        <is>
          <t xml:space="preserve">2026-08-12</t>
        </is>
      </c>
      <c r="I21" s="3" t="inlineStr">
        <is>
          <t xml:space="preserve">never opened invoice</t>
        </is>
      </c>
      <c r="J21" s="2"/>
      <c r="K21" s="3"/>
    </row>
    <row r="22">
      <c r="A22" s="5" t="inlineStr">
        <is>
          <t xml:space="preserve">Not started</t>
        </is>
      </c>
      <c r="B22" t="inlineStr">
        <is>
          <t xml:space="preserve">Jenna Larson</t>
        </is>
      </c>
      <c r="C22" s="2">
        <v>100</v>
      </c>
      <c r="D22" s="4">
        <v>40</v>
      </c>
      <c r="E22" s="4">
        <v>1</v>
      </c>
      <c r="F22" s="4" t="inlineStr">
        <is>
          <t xml:space="preserve">-</t>
        </is>
      </c>
      <c r="G22" t="inlineStr">
        <is>
          <t xml:space="preserve">253-228-6145</t>
        </is>
      </c>
      <c r="H22" s="4" t="inlineStr">
        <is>
          <t xml:space="preserve">2026-08-12</t>
        </is>
      </c>
      <c r="I22" s="3" t="inlineStr">
        <is>
          <t xml:space="preserve">never opened invoice</t>
        </is>
      </c>
      <c r="J22" s="2"/>
      <c r="K22" s="3"/>
    </row>
    <row r="23">
      <c r="A23" s="5" t="inlineStr">
        <is>
          <t xml:space="preserve">Not started</t>
        </is>
      </c>
      <c r="B23" t="inlineStr">
        <is>
          <t xml:space="preserve">Hector Soto-Garcia</t>
        </is>
      </c>
      <c r="C23" s="2">
        <v>100</v>
      </c>
      <c r="D23" s="4">
        <v>40</v>
      </c>
      <c r="E23" s="4">
        <v>1</v>
      </c>
      <c r="F23" s="4" t="inlineStr">
        <is>
          <t xml:space="preserve">YES</t>
        </is>
      </c>
      <c r="G23" t="inlineStr">
        <is>
          <t xml:space="preserve">(757) 881-8898</t>
        </is>
      </c>
      <c r="H23" s="4" t="inlineStr">
        <is>
          <t xml:space="preserve">2026-08-12</t>
        </is>
      </c>
      <c r="I23" s="3" t="inlineStr">
        <is>
          <t xml:space="preserve">never opened invoice</t>
        </is>
      </c>
      <c r="J23" s="2"/>
      <c r="K23" s="3"/>
    </row>
    <row r="24">
      <c r="A24" s="5" t="inlineStr">
        <is>
          <t xml:space="preserve">Not started</t>
        </is>
      </c>
      <c r="B24" t="inlineStr">
        <is>
          <t xml:space="preserve">Darren Corliss</t>
        </is>
      </c>
      <c r="C24" s="2">
        <v>100</v>
      </c>
      <c r="D24" s="4">
        <v>40</v>
      </c>
      <c r="E24" s="4">
        <v>1</v>
      </c>
      <c r="F24" s="4" t="inlineStr">
        <is>
          <t xml:space="preserve">-</t>
        </is>
      </c>
      <c r="G24" t="inlineStr">
        <is>
          <t xml:space="preserve">3607109893</t>
        </is>
      </c>
      <c r="H24" s="4" t="inlineStr">
        <is>
          <t xml:space="preserve">2026-08-13</t>
        </is>
      </c>
      <c r="I24" s="3" t="inlineStr">
        <is>
          <t xml:space="preserve"/>
        </is>
      </c>
      <c r="J24" s="2"/>
      <c r="K24" s="3"/>
    </row>
    <row r="25">
      <c r="A25" s="5" t="inlineStr">
        <is>
          <t xml:space="preserve">Not started</t>
        </is>
      </c>
      <c r="B25" t="inlineStr">
        <is>
          <t xml:space="preserve">Collin Sidebotham</t>
        </is>
      </c>
      <c r="C25" s="2">
        <v>100</v>
      </c>
      <c r="D25" s="4">
        <v>40</v>
      </c>
      <c r="E25" s="4">
        <v>1</v>
      </c>
      <c r="F25" s="4" t="inlineStr">
        <is>
          <t xml:space="preserve">YES</t>
        </is>
      </c>
      <c r="G25" t="inlineStr">
        <is>
          <t xml:space="preserve">4254662293</t>
        </is>
      </c>
      <c r="H25" s="4" t="inlineStr">
        <is>
          <t xml:space="preserve">2026-08-13</t>
        </is>
      </c>
      <c r="I25" s="3" t="inlineStr">
        <is>
          <t xml:space="preserve">never opened invoice</t>
        </is>
      </c>
      <c r="J25" s="2"/>
      <c r="K25" s="3"/>
    </row>
    <row r="26">
      <c r="A26" s="5" t="inlineStr">
        <is>
          <t xml:space="preserve">Not started</t>
        </is>
      </c>
      <c r="B26" t="inlineStr">
        <is>
          <t xml:space="preserve">Tom &amp; Sarah Long</t>
        </is>
      </c>
      <c r="C26" s="2">
        <v>100</v>
      </c>
      <c r="D26" s="4">
        <v>47</v>
      </c>
      <c r="E26" s="4">
        <v>1</v>
      </c>
      <c r="F26" s="4" t="inlineStr">
        <is>
          <t xml:space="preserve">-</t>
        </is>
      </c>
      <c r="G26" t="inlineStr">
        <is>
          <t xml:space="preserve">4254453859</t>
        </is>
      </c>
      <c r="H26" s="4" t="inlineStr">
        <is>
          <t xml:space="preserve">2026-08-12</t>
        </is>
      </c>
      <c r="I26" s="3" t="inlineStr">
        <is>
          <t xml:space="preserve"/>
        </is>
      </c>
      <c r="J26" s="2"/>
      <c r="K26" s="3"/>
    </row>
    <row r="27">
      <c r="A27" s="5" t="inlineStr">
        <is>
          <t xml:space="preserve">Not started</t>
        </is>
      </c>
      <c r="B27" t="inlineStr">
        <is>
          <t xml:space="preserve">Nichole Avila</t>
        </is>
      </c>
      <c r="C27" s="2">
        <v>89</v>
      </c>
      <c r="D27" s="4">
        <v>71</v>
      </c>
      <c r="E27" s="4">
        <v>1</v>
      </c>
      <c r="F27" s="4" t="inlineStr">
        <is>
          <t xml:space="preserve">YES</t>
        </is>
      </c>
      <c r="G27" t="inlineStr">
        <is>
          <t xml:space="preserve">2067990108</t>
        </is>
      </c>
      <c r="H27" s="4" t="inlineStr">
        <is>
          <t xml:space="preserve">2026-08-12</t>
        </is>
      </c>
      <c r="I27" s="3" t="inlineStr">
        <is>
          <t xml:space="preserve">never opened invoice</t>
        </is>
      </c>
      <c r="J27" s="2"/>
      <c r="K27" s="3"/>
    </row>
    <row r="28">
      <c r="A28" s="5" t="inlineStr">
        <is>
          <t xml:space="preserve">Not started</t>
        </is>
      </c>
      <c r="B28" t="inlineStr">
        <is>
          <t xml:space="preserve">Scott Barker</t>
        </is>
      </c>
      <c r="C28" s="2">
        <v>85</v>
      </c>
      <c r="D28" s="4">
        <v>40</v>
      </c>
      <c r="E28" s="4">
        <v>1</v>
      </c>
      <c r="F28" s="4" t="inlineStr">
        <is>
          <t xml:space="preserve">YES</t>
        </is>
      </c>
      <c r="G28" t="inlineStr">
        <is>
          <t xml:space="preserve">4255999091</t>
        </is>
      </c>
      <c r="H28" s="4" t="inlineStr">
        <is>
          <t xml:space="preserve">2026-08-18</t>
        </is>
      </c>
      <c r="I28" s="3" t="inlineStr">
        <is>
          <t xml:space="preserve"/>
        </is>
      </c>
      <c r="J28" s="2"/>
      <c r="K28" s="3"/>
    </row>
    <row r="29">
      <c r="A29" s="5" t="inlineStr">
        <is>
          <t xml:space="preserve">Not started</t>
        </is>
      </c>
      <c r="B29" t="inlineStr">
        <is>
          <t xml:space="preserve">Anne Gallagher</t>
        </is>
      </c>
      <c r="C29" s="2">
        <v>85</v>
      </c>
      <c r="D29" s="4">
        <v>40</v>
      </c>
      <c r="E29" s="4">
        <v>1</v>
      </c>
      <c r="F29" s="4" t="inlineStr">
        <is>
          <t xml:space="preserve">-</t>
        </is>
      </c>
      <c r="G29" t="inlineStr">
        <is>
          <t xml:space="preserve">3604510921</t>
        </is>
      </c>
      <c r="H29" s="4" t="inlineStr">
        <is>
          <t xml:space="preserve">2026-08-13</t>
        </is>
      </c>
      <c r="I29" s="3" t="inlineStr">
        <is>
          <t xml:space="preserve">never opened invoice</t>
        </is>
      </c>
      <c r="J29" s="2"/>
      <c r="K29" s="3"/>
    </row>
    <row r="30">
      <c r="A30" s="5" t="inlineStr">
        <is>
          <t xml:space="preserve">Not started</t>
        </is>
      </c>
      <c r="B30" t="inlineStr">
        <is>
          <t xml:space="preserve">Jonae</t>
        </is>
      </c>
      <c r="C30" s="2">
        <v>50</v>
      </c>
      <c r="D30" s="4">
        <v>40</v>
      </c>
      <c r="E30" s="4">
        <v>1</v>
      </c>
      <c r="F30" s="4" t="inlineStr">
        <is>
          <t xml:space="preserve">-</t>
        </is>
      </c>
      <c r="G30" t="inlineStr">
        <is>
          <t xml:space="preserve">2534315859</t>
        </is>
      </c>
      <c r="H30" s="4" t="inlineStr">
        <is>
          <t xml:space="preserve">2026-08-13</t>
        </is>
      </c>
      <c r="I30" s="3" t="inlineStr">
        <is>
          <t xml:space="preserve">never opened invoice</t>
        </is>
      </c>
      <c r="J30" s="2"/>
      <c r="K30" s="3"/>
    </row>
    <row r="31">
      <c r="A31" t="inlineStr">
        <is>
          <t xml:space="preserve"/>
        </is>
      </c>
      <c r="B31" s="6" t="inlineStr">
        <is>
          <t xml:space="preserve">TOTAL</t>
        </is>
      </c>
      <c r="C31" s="7">
        <v>5969</v>
      </c>
      <c r="J31" s="7" t="str">
        <f>SUM(J2:J30)</f>
      </c>
    </row>
  </sheetData>
  <autoFilter ref="A1:K30"/>
  <conditionalFormatting sqref="A2:K30">
    <cfRule type="expression" dxfId="0" priority="1">
      <formula>$A2="PAID"</formula>
    </cfRule>
    <cfRule type="expression" dxfId="0" priority="2">
      <formula>$A2="Autopay switched on"</formula>
    </cfRule>
    <cfRule type="expression" dxfId="1" priority="3">
      <formula>$A2="Promised to pay"</formula>
    </cfRule>
    <cfRule type="expression" dxfId="2" priority="4">
      <formula>OR($A2="Bad number",$A2="Disputed")</formula>
    </cfRule>
  </conditionalFormatting>
  <dataValidations count="1">
    <dataValidation type="list" allowBlank="1" showInputMessage="1" showErrorMessage="0" sqref="A2:A30">
      <formula1>"Not started,PAID,Promised to pay,Left voicemail,No answer,Bad number,Disputed,Autopay switched on"</formula1>
    </dataValidation>
  </dataValidations>
  <pageMargins left="0.5" right="0.5" top="0.6" bottom="0.6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/>
    <col min="2" max="2" width="26" customWidth="1"/>
    <col min="3" max="3" width="11" customWidth="1"/>
    <col min="4" max="4" width="12" customWidth="1"/>
    <col min="5" max="5" width="13" customWidth="1"/>
    <col min="6" max="6" width="13" customWidth="1"/>
    <col min="7" max="7" width="12" customWidth="1"/>
    <col min="8" max="8" width="7" customWidth="1"/>
    <col min="9" max="9" width="10" customWidth="1"/>
    <col min="10" max="10" width="16" customWidth="1"/>
    <col min="11" max="11" width="34" customWidth="1"/>
  </cols>
  <sheetData>
    <row r="1" ht="30" customHeight="1">
      <c r="A1" s="1" t="inlineStr">
        <is>
          <t xml:space="preserve">Status</t>
        </is>
      </c>
      <c r="B1" s="1" t="inlineStr">
        <is>
          <t xml:space="preserve">Client</t>
        </is>
      </c>
      <c r="C1" s="1" t="inlineStr">
        <is>
          <t xml:space="preserve">Invoice #</t>
        </is>
      </c>
      <c r="D1" s="1" t="inlineStr">
        <is>
          <t xml:space="preserve">Balance</t>
        </is>
      </c>
      <c r="E1" s="1" t="inlineStr">
        <is>
          <t xml:space="preserve">Invoice total</t>
        </is>
      </c>
      <c r="F1" s="1" t="inlineStr">
        <is>
          <t xml:space="preserve">Already paid</t>
        </is>
      </c>
      <c r="G1" s="1" t="inlineStr">
        <is>
          <t xml:space="preserve">Due date</t>
        </is>
      </c>
      <c r="H1" s="1" t="inlineStr">
        <is>
          <t xml:space="preserve">Days</t>
        </is>
      </c>
      <c r="I1" s="1" t="inlineStr">
        <is>
          <t xml:space="preserve">Opened?</t>
        </is>
      </c>
      <c r="J1" s="1" t="inlineStr">
        <is>
          <t xml:space="preserve">Pay link</t>
        </is>
      </c>
      <c r="K1" s="1" t="inlineStr">
        <is>
          <t xml:space="preserve">Notes</t>
        </is>
      </c>
    </row>
    <row r="2">
      <c r="A2" s="5" t="inlineStr">
        <is>
          <t xml:space="preserve">Not started</t>
        </is>
      </c>
      <c r="B2" t="inlineStr">
        <is>
          <t xml:space="preserve">Western Plaza</t>
        </is>
      </c>
      <c r="C2" s="4" t="inlineStr">
        <is>
          <t xml:space="preserve">14450</t>
        </is>
      </c>
      <c r="D2" s="2">
        <v>500</v>
      </c>
      <c r="E2" s="2">
        <v>500</v>
      </c>
      <c r="F2" s="2">
        <v>0</v>
      </c>
      <c r="G2" s="4" t="inlineStr">
        <is>
          <t xml:space="preserve">2026-07-30</t>
        </is>
      </c>
      <c r="H2" s="4">
        <v>41</v>
      </c>
      <c r="I2" s="4" t="inlineStr">
        <is>
          <t xml:space="preserve">never</t>
        </is>
      </c>
      <c r="J2" s="8" t="str">
        <f>HYPERLINK("https://clienthub.getjobber.com/client_hubs/fb50dee4-9fed-4f2c-afdd-d19fda7da0ee/invoices/162089255","Open invoice")</f>
      </c>
      <c r="K2" s="3"/>
    </row>
    <row r="3">
      <c r="A3" s="5" t="inlineStr">
        <is>
          <t xml:space="preserve">Not started</t>
        </is>
      </c>
      <c r="B3" t="inlineStr">
        <is>
          <t xml:space="preserve">Thomas Spring Estates</t>
        </is>
      </c>
      <c r="C3" s="4" t="inlineStr">
        <is>
          <t xml:space="preserve">14028</t>
        </is>
      </c>
      <c r="D3" s="2">
        <v>200</v>
      </c>
      <c r="E3" s="2">
        <v>200</v>
      </c>
      <c r="F3" s="2">
        <v>0</v>
      </c>
      <c r="G3" s="4" t="inlineStr">
        <is>
          <t xml:space="preserve">2026-06-30</t>
        </is>
      </c>
      <c r="H3" s="4">
        <v>71</v>
      </c>
      <c r="I3" s="4" t="inlineStr">
        <is>
          <t xml:space="preserve">never</t>
        </is>
      </c>
      <c r="J3" s="8" t="str">
        <f>HYPERLINK("https://clienthub.getjobber.com/client_hubs/fb50dee4-9fed-4f2c-afdd-d19fda7da0ee/invoices/158204307","Open invoice")</f>
      </c>
      <c r="K3" s="3"/>
    </row>
    <row r="4">
      <c r="A4" s="5" t="inlineStr">
        <is>
          <t xml:space="preserve">Not started</t>
        </is>
      </c>
      <c r="B4" t="inlineStr">
        <is>
          <t xml:space="preserve">Thomas Spring Estates</t>
        </is>
      </c>
      <c r="C4" s="4" t="inlineStr">
        <is>
          <t xml:space="preserve">14304</t>
        </is>
      </c>
      <c r="D4" s="2">
        <v>200</v>
      </c>
      <c r="E4" s="2">
        <v>200</v>
      </c>
      <c r="F4" s="2">
        <v>0</v>
      </c>
      <c r="G4" s="4" t="inlineStr">
        <is>
          <t xml:space="preserve">2026-07-30</t>
        </is>
      </c>
      <c r="H4" s="4">
        <v>41</v>
      </c>
      <c r="I4" s="4" t="inlineStr">
        <is>
          <t xml:space="preserve">never</t>
        </is>
      </c>
      <c r="J4" s="8" t="str">
        <f>HYPERLINK("https://clienthub.getjobber.com/client_hubs/fb50dee4-9fed-4f2c-afdd-d19fda7da0ee/invoices/162088902","Open invoice")</f>
      </c>
      <c r="K4" s="3"/>
    </row>
    <row r="5">
      <c r="A5" s="5" t="inlineStr">
        <is>
          <t xml:space="preserve">Not started</t>
        </is>
      </c>
      <c r="B5" t="inlineStr">
        <is>
          <t xml:space="preserve">Jody Sanders</t>
        </is>
      </c>
      <c r="C5" s="4" t="inlineStr">
        <is>
          <t xml:space="preserve">15554</t>
        </is>
      </c>
      <c r="D5" s="2">
        <v>375</v>
      </c>
      <c r="E5" s="2">
        <v>375</v>
      </c>
      <c r="F5" s="2">
        <v>0</v>
      </c>
      <c r="G5" s="4" t="inlineStr">
        <is>
          <t xml:space="preserve">2026-08-24</t>
        </is>
      </c>
      <c r="H5" s="4">
        <v>16</v>
      </c>
      <c r="I5" s="4" t="inlineStr">
        <is>
          <t xml:space="preserve">never</t>
        </is>
      </c>
      <c r="J5" s="8" t="str">
        <f>HYPERLINK("https://clienthub.getjobber.com/client_hubs/fb50dee4-9fed-4f2c-afdd-d19fda7da0ee/invoices/169135147","Open invoice")</f>
      </c>
      <c r="K5" s="3"/>
    </row>
    <row r="6">
      <c r="A6" s="5" t="inlineStr">
        <is>
          <t xml:space="preserve">Not started</t>
        </is>
      </c>
      <c r="B6" t="inlineStr">
        <is>
          <t xml:space="preserve">Jay Poole</t>
        </is>
      </c>
      <c r="C6" s="4" t="inlineStr">
        <is>
          <t xml:space="preserve">15547</t>
        </is>
      </c>
      <c r="D6" s="2">
        <v>375</v>
      </c>
      <c r="E6" s="2">
        <v>375</v>
      </c>
      <c r="F6" s="2">
        <v>0</v>
      </c>
      <c r="G6" s="4" t="inlineStr">
        <is>
          <t xml:space="preserve">2026-08-20</t>
        </is>
      </c>
      <c r="H6" s="4">
        <v>20</v>
      </c>
      <c r="I6" s="4" t="inlineStr">
        <is>
          <t xml:space="preserve">never</t>
        </is>
      </c>
      <c r="J6" s="8" t="str">
        <f>HYPERLINK("https://clienthub.getjobber.com/client_hubs/fb50dee4-9fed-4f2c-afdd-d19fda7da0ee/invoices/168800717","Open invoice")</f>
      </c>
      <c r="K6" s="3"/>
    </row>
    <row r="7">
      <c r="A7" s="5" t="inlineStr">
        <is>
          <t xml:space="preserve">Not started</t>
        </is>
      </c>
      <c r="B7" t="inlineStr">
        <is>
          <t xml:space="preserve">Jared Barrett</t>
        </is>
      </c>
      <c r="C7" s="4" t="inlineStr">
        <is>
          <t xml:space="preserve">15542</t>
        </is>
      </c>
      <c r="D7" s="2">
        <v>375</v>
      </c>
      <c r="E7" s="2">
        <v>375</v>
      </c>
      <c r="F7" s="2">
        <v>0</v>
      </c>
      <c r="G7" s="4" t="inlineStr">
        <is>
          <t xml:space="preserve">2026-08-18</t>
        </is>
      </c>
      <c r="H7" s="4">
        <v>22</v>
      </c>
      <c r="I7" s="4" t="inlineStr">
        <is>
          <t xml:space="preserve">never</t>
        </is>
      </c>
      <c r="J7" s="8" t="str">
        <f>HYPERLINK("https://clienthub.getjobber.com/client_hubs/fb50dee4-9fed-4f2c-afdd-d19fda7da0ee/invoices/168557849","Open invoice")</f>
      </c>
      <c r="K7" s="3"/>
    </row>
    <row r="8">
      <c r="A8" s="5" t="inlineStr">
        <is>
          <t xml:space="preserve">Not started</t>
        </is>
      </c>
      <c r="B8" t="inlineStr">
        <is>
          <t xml:space="preserve">Kyle MacVicar</t>
        </is>
      </c>
      <c r="C8" s="4" t="inlineStr">
        <is>
          <t xml:space="preserve">15491</t>
        </is>
      </c>
      <c r="D8" s="2">
        <v>375</v>
      </c>
      <c r="E8" s="2">
        <v>375</v>
      </c>
      <c r="F8" s="2">
        <v>0</v>
      </c>
      <c r="G8" s="4" t="inlineStr">
        <is>
          <t xml:space="preserve">2026-08-05</t>
        </is>
      </c>
      <c r="H8" s="4">
        <v>35</v>
      </c>
      <c r="I8" s="4" t="inlineStr">
        <is>
          <t xml:space="preserve">yes</t>
        </is>
      </c>
      <c r="J8" s="8" t="str">
        <f>HYPERLINK("https://clienthub.getjobber.com/client_hubs/fb50dee4-9fed-4f2c-afdd-d19fda7da0ee/invoices/167053431","Open invoice")</f>
      </c>
      <c r="K8" s="3"/>
    </row>
    <row r="9">
      <c r="A9" s="5" t="inlineStr">
        <is>
          <t xml:space="preserve">Not started</t>
        </is>
      </c>
      <c r="B9" t="inlineStr">
        <is>
          <t xml:space="preserve">Julie Dance</t>
        </is>
      </c>
      <c r="C9" s="4" t="inlineStr">
        <is>
          <t xml:space="preserve">14879</t>
        </is>
      </c>
      <c r="D9" s="2">
        <v>375</v>
      </c>
      <c r="E9" s="2">
        <v>375</v>
      </c>
      <c r="F9" s="2">
        <v>0</v>
      </c>
      <c r="G9" s="4" t="inlineStr">
        <is>
          <t xml:space="preserve">2026-07-24</t>
        </is>
      </c>
      <c r="H9" s="4">
        <v>47</v>
      </c>
      <c r="I9" s="4" t="inlineStr">
        <is>
          <t xml:space="preserve">never</t>
        </is>
      </c>
      <c r="J9" s="8" t="str">
        <f>HYPERLINK("https://clienthub.getjobber.com/client_hubs/fb50dee4-9fed-4f2c-afdd-d19fda7da0ee/invoices/165316762","Open invoice")</f>
      </c>
      <c r="K9" s="3"/>
    </row>
    <row r="10">
      <c r="A10" s="5" t="inlineStr">
        <is>
          <t xml:space="preserve">Not started</t>
        </is>
      </c>
      <c r="B10" t="inlineStr">
        <is>
          <t xml:space="preserve">Nancy Parkes</t>
        </is>
      </c>
      <c r="C10" s="4" t="inlineStr">
        <is>
          <t xml:space="preserve">14252</t>
        </is>
      </c>
      <c r="D10" s="2">
        <v>375</v>
      </c>
      <c r="E10" s="2">
        <v>375</v>
      </c>
      <c r="F10" s="2">
        <v>0</v>
      </c>
      <c r="G10" s="4" t="inlineStr">
        <is>
          <t xml:space="preserve">2026-06-01</t>
        </is>
      </c>
      <c r="H10" s="4">
        <v>100</v>
      </c>
      <c r="I10" s="4" t="inlineStr">
        <is>
          <t xml:space="preserve">never</t>
        </is>
      </c>
      <c r="J10" s="8" t="str">
        <f>HYPERLINK("https://clienthub.getjobber.com/client_hubs/fb50dee4-9fed-4f2c-afdd-d19fda7da0ee/invoices/158470306","Open invoice")</f>
      </c>
      <c r="K10" s="3"/>
    </row>
    <row r="11">
      <c r="A11" s="5" t="inlineStr">
        <is>
          <t xml:space="preserve">Not started</t>
        </is>
      </c>
      <c r="B11" t="inlineStr">
        <is>
          <t xml:space="preserve">Jenna Larson</t>
        </is>
      </c>
      <c r="C11" s="4" t="inlineStr">
        <is>
          <t xml:space="preserve">15497</t>
        </is>
      </c>
      <c r="D11" s="2">
        <v>300</v>
      </c>
      <c r="E11" s="2">
        <v>450</v>
      </c>
      <c r="F11" s="2">
        <v>0</v>
      </c>
      <c r="G11" s="4" t="inlineStr">
        <is>
          <t xml:space="preserve">2026-08-06</t>
        </is>
      </c>
      <c r="H11" s="4">
        <v>34</v>
      </c>
      <c r="I11" s="4" t="inlineStr">
        <is>
          <t xml:space="preserve">never</t>
        </is>
      </c>
      <c r="J11" s="8" t="str">
        <f>HYPERLINK("https://clienthub.getjobber.com/client_hubs/fb50dee4-9fed-4f2c-afdd-d19fda7da0ee/invoices/167200157","Open invoice")</f>
      </c>
      <c r="K11" s="3"/>
    </row>
    <row r="12">
      <c r="A12" s="5" t="inlineStr">
        <is>
          <t xml:space="preserve">Not started</t>
        </is>
      </c>
      <c r="B12" t="inlineStr">
        <is>
          <t xml:space="preserve">Deborah Larry</t>
        </is>
      </c>
      <c r="C12" s="4" t="inlineStr">
        <is>
          <t xml:space="preserve">13813</t>
        </is>
      </c>
      <c r="D12" s="2">
        <v>100</v>
      </c>
      <c r="E12" s="2">
        <v>100</v>
      </c>
      <c r="F12" s="2">
        <v>0</v>
      </c>
      <c r="G12" s="4" t="inlineStr">
        <is>
          <t xml:space="preserve">2026-05-31</t>
        </is>
      </c>
      <c r="H12" s="4">
        <v>101</v>
      </c>
      <c r="I12" s="4" t="inlineStr">
        <is>
          <t xml:space="preserve">never</t>
        </is>
      </c>
      <c r="J12" s="8" t="str">
        <f>HYPERLINK("https://clienthub.getjobber.com/client_hubs/fb50dee4-9fed-4f2c-afdd-d19fda7da0ee/invoices/158203393","Open invoice")</f>
      </c>
      <c r="K12" s="3"/>
    </row>
    <row r="13">
      <c r="A13" s="5" t="inlineStr">
        <is>
          <t xml:space="preserve">Not started</t>
        </is>
      </c>
      <c r="B13" t="inlineStr">
        <is>
          <t xml:space="preserve">Deborah Larry</t>
        </is>
      </c>
      <c r="C13" s="4" t="inlineStr">
        <is>
          <t xml:space="preserve">14355</t>
        </is>
      </c>
      <c r="D13" s="2">
        <v>100</v>
      </c>
      <c r="E13" s="2">
        <v>100</v>
      </c>
      <c r="F13" s="2">
        <v>0</v>
      </c>
      <c r="G13" s="4" t="inlineStr">
        <is>
          <t xml:space="preserve">2026-06-30</t>
        </is>
      </c>
      <c r="H13" s="4">
        <v>71</v>
      </c>
      <c r="I13" s="4" t="inlineStr">
        <is>
          <t xml:space="preserve">never</t>
        </is>
      </c>
      <c r="J13" s="8" t="str">
        <f>HYPERLINK("https://clienthub.getjobber.com/client_hubs/fb50dee4-9fed-4f2c-afdd-d19fda7da0ee/invoices/162089026","Open invoice")</f>
      </c>
      <c r="K13" s="3"/>
    </row>
    <row r="14">
      <c r="A14" s="5" t="inlineStr">
        <is>
          <t xml:space="preserve">Not started</t>
        </is>
      </c>
      <c r="B14" t="inlineStr">
        <is>
          <t xml:space="preserve">Deborah Larry</t>
        </is>
      </c>
      <c r="C14" s="4" t="inlineStr">
        <is>
          <t xml:space="preserve">14962</t>
        </is>
      </c>
      <c r="D14" s="2">
        <v>100</v>
      </c>
      <c r="E14" s="2">
        <v>100</v>
      </c>
      <c r="F14" s="2">
        <v>0</v>
      </c>
      <c r="G14" s="4" t="inlineStr">
        <is>
          <t xml:space="preserve">2026-07-31</t>
        </is>
      </c>
      <c r="H14" s="4">
        <v>40</v>
      </c>
      <c r="I14" s="4" t="inlineStr">
        <is>
          <t xml:space="preserve">never</t>
        </is>
      </c>
      <c r="J14" s="8" t="str">
        <f>HYPERLINK("https://clienthub.getjobber.com/client_hubs/fb50dee4-9fed-4f2c-afdd-d19fda7da0ee/invoices/166165901","Open invoice")</f>
      </c>
      <c r="K14" s="3"/>
    </row>
    <row r="15">
      <c r="A15" s="5" t="inlineStr">
        <is>
          <t xml:space="preserve">Not started</t>
        </is>
      </c>
      <c r="B15" t="inlineStr">
        <is>
          <t xml:space="preserve">Dennis Scroggins</t>
        </is>
      </c>
      <c r="C15" s="4" t="inlineStr">
        <is>
          <t xml:space="preserve">13771</t>
        </is>
      </c>
      <c r="D15" s="2">
        <v>85</v>
      </c>
      <c r="E15" s="2">
        <v>85</v>
      </c>
      <c r="F15" s="2">
        <v>0</v>
      </c>
      <c r="G15" s="4" t="inlineStr">
        <is>
          <t xml:space="preserve">2026-05-31</t>
        </is>
      </c>
      <c r="H15" s="4">
        <v>101</v>
      </c>
      <c r="I15" s="4" t="inlineStr">
        <is>
          <t xml:space="preserve">never</t>
        </is>
      </c>
      <c r="J15" s="8" t="str">
        <f>HYPERLINK("https://clienthub.getjobber.com/client_hubs/fb50dee4-9fed-4f2c-afdd-d19fda7da0ee/invoices/158203343","Open invoice")</f>
      </c>
      <c r="K15" s="3"/>
    </row>
    <row r="16">
      <c r="A16" s="5" t="inlineStr">
        <is>
          <t xml:space="preserve">Not started</t>
        </is>
      </c>
      <c r="B16" t="inlineStr">
        <is>
          <t xml:space="preserve">Dennis Scroggins</t>
        </is>
      </c>
      <c r="C16" s="4" t="inlineStr">
        <is>
          <t xml:space="preserve">14312</t>
        </is>
      </c>
      <c r="D16" s="2">
        <v>85</v>
      </c>
      <c r="E16" s="2">
        <v>85</v>
      </c>
      <c r="F16" s="2">
        <v>0</v>
      </c>
      <c r="G16" s="4" t="inlineStr">
        <is>
          <t xml:space="preserve">2026-06-30</t>
        </is>
      </c>
      <c r="H16" s="4">
        <v>71</v>
      </c>
      <c r="I16" s="4" t="inlineStr">
        <is>
          <t xml:space="preserve">never</t>
        </is>
      </c>
      <c r="J16" s="8" t="str">
        <f>HYPERLINK("https://clienthub.getjobber.com/client_hubs/fb50dee4-9fed-4f2c-afdd-d19fda7da0ee/invoices/162088916","Open invoice")</f>
      </c>
      <c r="K16" s="3"/>
    </row>
    <row r="17">
      <c r="A17" s="5" t="inlineStr">
        <is>
          <t xml:space="preserve">Not started</t>
        </is>
      </c>
      <c r="B17" t="inlineStr">
        <is>
          <t xml:space="preserve">Dennis Scroggins</t>
        </is>
      </c>
      <c r="C17" s="4" t="inlineStr">
        <is>
          <t xml:space="preserve">14920</t>
        </is>
      </c>
      <c r="D17" s="2">
        <v>85</v>
      </c>
      <c r="E17" s="2">
        <v>85</v>
      </c>
      <c r="F17" s="2">
        <v>0</v>
      </c>
      <c r="G17" s="4" t="inlineStr">
        <is>
          <t xml:space="preserve">2026-07-31</t>
        </is>
      </c>
      <c r="H17" s="4">
        <v>40</v>
      </c>
      <c r="I17" s="4" t="inlineStr">
        <is>
          <t xml:space="preserve">never</t>
        </is>
      </c>
      <c r="J17" s="8" t="str">
        <f>HYPERLINK("https://clienthub.getjobber.com/client_hubs/fb50dee4-9fed-4f2c-afdd-d19fda7da0ee/invoices/166165739","Open invoice")</f>
      </c>
      <c r="K17" s="3"/>
    </row>
    <row r="18">
      <c r="A18" s="5" t="inlineStr">
        <is>
          <t xml:space="preserve">Not started</t>
        </is>
      </c>
      <c r="B18" t="inlineStr">
        <is>
          <t xml:space="preserve">Eliav Coen</t>
        </is>
      </c>
      <c r="C18" s="4" t="inlineStr">
        <is>
          <t xml:space="preserve">14449</t>
        </is>
      </c>
      <c r="D18" s="2">
        <v>100</v>
      </c>
      <c r="E18" s="2">
        <v>100</v>
      </c>
      <c r="F18" s="2">
        <v>0</v>
      </c>
      <c r="G18" s="4" t="inlineStr">
        <is>
          <t xml:space="preserve">2026-06-30</t>
        </is>
      </c>
      <c r="H18" s="4">
        <v>71</v>
      </c>
      <c r="I18" s="4" t="inlineStr">
        <is>
          <t xml:space="preserve">never</t>
        </is>
      </c>
      <c r="J18" s="8" t="str">
        <f>HYPERLINK("https://clienthub.getjobber.com/client_hubs/fb50dee4-9fed-4f2c-afdd-d19fda7da0ee/invoices/162089254","Open invoice")</f>
      </c>
      <c r="K18" s="3"/>
    </row>
    <row r="19">
      <c r="A19" s="5" t="inlineStr">
        <is>
          <t xml:space="preserve">Not started</t>
        </is>
      </c>
      <c r="B19" t="inlineStr">
        <is>
          <t xml:space="preserve">Eliav Coen</t>
        </is>
      </c>
      <c r="C19" s="4" t="inlineStr">
        <is>
          <t xml:space="preserve">15056</t>
        </is>
      </c>
      <c r="D19" s="2">
        <v>100</v>
      </c>
      <c r="E19" s="2">
        <v>100</v>
      </c>
      <c r="F19" s="2">
        <v>0</v>
      </c>
      <c r="G19" s="4" t="inlineStr">
        <is>
          <t xml:space="preserve">2026-07-31</t>
        </is>
      </c>
      <c r="H19" s="4">
        <v>40</v>
      </c>
      <c r="I19" s="4" t="inlineStr">
        <is>
          <t xml:space="preserve">never</t>
        </is>
      </c>
      <c r="J19" s="8" t="str">
        <f>HYPERLINK("https://clienthub.getjobber.com/client_hubs/fb50dee4-9fed-4f2c-afdd-d19fda7da0ee/invoices/166166303","Open invoice")</f>
      </c>
      <c r="K19" s="3"/>
    </row>
    <row r="20">
      <c r="A20" s="5" t="inlineStr">
        <is>
          <t xml:space="preserve">Not started</t>
        </is>
      </c>
      <c r="B20" t="inlineStr">
        <is>
          <t xml:space="preserve">Skookum Archers</t>
        </is>
      </c>
      <c r="C20" s="4" t="inlineStr">
        <is>
          <t xml:space="preserve">14357</t>
        </is>
      </c>
      <c r="D20" s="2">
        <v>155</v>
      </c>
      <c r="E20" s="2">
        <v>155</v>
      </c>
      <c r="F20" s="2">
        <v>0</v>
      </c>
      <c r="G20" s="4" t="inlineStr">
        <is>
          <t xml:space="preserve">2026-07-30</t>
        </is>
      </c>
      <c r="H20" s="4">
        <v>41</v>
      </c>
      <c r="I20" s="4" t="inlineStr">
        <is>
          <t xml:space="preserve">never</t>
        </is>
      </c>
      <c r="J20" s="8" t="str">
        <f>HYPERLINK("https://clienthub.getjobber.com/client_hubs/fb50dee4-9fed-4f2c-afdd-d19fda7da0ee/invoices/162089032","Open invoice")</f>
      </c>
      <c r="K20" s="3"/>
    </row>
    <row r="21">
      <c r="A21" s="5" t="inlineStr">
        <is>
          <t xml:space="preserve">Not started</t>
        </is>
      </c>
      <c r="B21" t="inlineStr">
        <is>
          <t xml:space="preserve">Tehaleh Owners Association</t>
        </is>
      </c>
      <c r="C21" s="4" t="inlineStr">
        <is>
          <t xml:space="preserve">14481</t>
        </is>
      </c>
      <c r="D21" s="2">
        <v>150</v>
      </c>
      <c r="E21" s="2">
        <v>150</v>
      </c>
      <c r="F21" s="2">
        <v>0</v>
      </c>
      <c r="G21" s="4" t="inlineStr">
        <is>
          <t xml:space="preserve">2026-07-30</t>
        </is>
      </c>
      <c r="H21" s="4">
        <v>41</v>
      </c>
      <c r="I21" s="4" t="inlineStr">
        <is>
          <t xml:space="preserve">yes</t>
        </is>
      </c>
      <c r="J21" s="8" t="str">
        <f>HYPERLINK("https://clienthub.getjobber.com/client_hubs/fb50dee4-9fed-4f2c-afdd-d19fda7da0ee/invoices/162089320","Open invoice")</f>
      </c>
      <c r="K21" s="3"/>
    </row>
    <row r="22">
      <c r="A22" s="5" t="inlineStr">
        <is>
          <t xml:space="preserve">Not started</t>
        </is>
      </c>
      <c r="B22" t="inlineStr">
        <is>
          <t xml:space="preserve">Kathy Wilson</t>
        </is>
      </c>
      <c r="C22" s="4" t="inlineStr">
        <is>
          <t xml:space="preserve">14974</t>
        </is>
      </c>
      <c r="D22" s="2">
        <v>125</v>
      </c>
      <c r="E22" s="2">
        <v>125</v>
      </c>
      <c r="F22" s="2">
        <v>0</v>
      </c>
      <c r="G22" s="4" t="inlineStr">
        <is>
          <t xml:space="preserve">2026-07-31</t>
        </is>
      </c>
      <c r="H22" s="4">
        <v>40</v>
      </c>
      <c r="I22" s="4" t="inlineStr">
        <is>
          <t xml:space="preserve">never</t>
        </is>
      </c>
      <c r="J22" s="8" t="str">
        <f>HYPERLINK("https://clienthub.getjobber.com/client_hubs/fb50dee4-9fed-4f2c-afdd-d19fda7da0ee/invoices/166165954","Open invoice")</f>
      </c>
      <c r="K22" s="3"/>
    </row>
    <row r="23">
      <c r="A23" s="5" t="inlineStr">
        <is>
          <t xml:space="preserve">Not started</t>
        </is>
      </c>
      <c r="B23" t="inlineStr">
        <is>
          <t xml:space="preserve">Cushman &amp; Wakefield</t>
        </is>
      </c>
      <c r="C23" s="4" t="inlineStr">
        <is>
          <t xml:space="preserve">15078</t>
        </is>
      </c>
      <c r="D23" s="2">
        <v>125</v>
      </c>
      <c r="E23" s="2">
        <v>125</v>
      </c>
      <c r="F23" s="2">
        <v>0</v>
      </c>
      <c r="G23" s="4" t="inlineStr">
        <is>
          <t xml:space="preserve">2026-07-31</t>
        </is>
      </c>
      <c r="H23" s="4">
        <v>40</v>
      </c>
      <c r="I23" s="4" t="inlineStr">
        <is>
          <t xml:space="preserve">yes</t>
        </is>
      </c>
      <c r="J23" s="8" t="str">
        <f>HYPERLINK("https://clienthub.getjobber.com/client_hubs/fb50dee4-9fed-4f2c-afdd-d19fda7da0ee/invoices/166166377","Open invoice")</f>
      </c>
      <c r="K23" s="3"/>
    </row>
    <row r="24">
      <c r="A24" s="5" t="inlineStr">
        <is>
          <t xml:space="preserve">Not started</t>
        </is>
      </c>
      <c r="B24" t="inlineStr">
        <is>
          <t xml:space="preserve">Greg Anderson</t>
        </is>
      </c>
      <c r="C24" s="4" t="inlineStr">
        <is>
          <t xml:space="preserve">14934</t>
        </is>
      </c>
      <c r="D24" s="2">
        <v>100</v>
      </c>
      <c r="E24" s="2">
        <v>100</v>
      </c>
      <c r="F24" s="2">
        <v>0</v>
      </c>
      <c r="G24" s="4" t="inlineStr">
        <is>
          <t xml:space="preserve">2026-07-31</t>
        </is>
      </c>
      <c r="H24" s="4">
        <v>40</v>
      </c>
      <c r="I24" s="4" t="inlineStr">
        <is>
          <t xml:space="preserve">never</t>
        </is>
      </c>
      <c r="J24" s="8" t="str">
        <f>HYPERLINK("https://clienthub.getjobber.com/client_hubs/fb50dee4-9fed-4f2c-afdd-d19fda7da0ee/invoices/166165782","Open invoice")</f>
      </c>
      <c r="K24" s="3"/>
    </row>
    <row r="25">
      <c r="A25" s="5" t="inlineStr">
        <is>
          <t xml:space="preserve">Not started</t>
        </is>
      </c>
      <c r="B25" t="inlineStr">
        <is>
          <t xml:space="preserve">McKenzie Dickson</t>
        </is>
      </c>
      <c r="C25" s="4" t="inlineStr">
        <is>
          <t xml:space="preserve">15164</t>
        </is>
      </c>
      <c r="D25" s="2">
        <v>100</v>
      </c>
      <c r="E25" s="2">
        <v>100</v>
      </c>
      <c r="F25" s="2">
        <v>0</v>
      </c>
      <c r="G25" s="4" t="inlineStr">
        <is>
          <t xml:space="preserve">2026-07-31</t>
        </is>
      </c>
      <c r="H25" s="4">
        <v>40</v>
      </c>
      <c r="I25" s="4" t="inlineStr">
        <is>
          <t xml:space="preserve">never</t>
        </is>
      </c>
      <c r="J25" s="8" t="str">
        <f>HYPERLINK("https://clienthub.getjobber.com/client_hubs/fb50dee4-9fed-4f2c-afdd-d19fda7da0ee/invoices/166166653","Open invoice")</f>
      </c>
      <c r="K25" s="3"/>
    </row>
    <row r="26">
      <c r="A26" s="5" t="inlineStr">
        <is>
          <t xml:space="preserve">Not started</t>
        </is>
      </c>
      <c r="B26" t="inlineStr">
        <is>
          <t xml:space="preserve">Lauren Kenyon</t>
        </is>
      </c>
      <c r="C26" s="4" t="inlineStr">
        <is>
          <t xml:space="preserve">15002</t>
        </is>
      </c>
      <c r="D26" s="2">
        <v>100</v>
      </c>
      <c r="E26" s="2">
        <v>100</v>
      </c>
      <c r="F26" s="2">
        <v>0</v>
      </c>
      <c r="G26" s="4" t="inlineStr">
        <is>
          <t xml:space="preserve">2026-07-31</t>
        </is>
      </c>
      <c r="H26" s="4">
        <v>40</v>
      </c>
      <c r="I26" s="4" t="inlineStr">
        <is>
          <t xml:space="preserve">never</t>
        </is>
      </c>
      <c r="J26" s="8" t="str">
        <f>HYPERLINK("https://clienthub.getjobber.com/client_hubs/fb50dee4-9fed-4f2c-afdd-d19fda7da0ee/invoices/166166041","Open invoice")</f>
      </c>
      <c r="K26" s="3"/>
    </row>
    <row r="27">
      <c r="A27" s="5" t="inlineStr">
        <is>
          <t xml:space="preserve">Not started</t>
        </is>
      </c>
      <c r="B27" t="inlineStr">
        <is>
          <t xml:space="preserve">Joel Coons</t>
        </is>
      </c>
      <c r="C27" s="4" t="inlineStr">
        <is>
          <t xml:space="preserve">15143</t>
        </is>
      </c>
      <c r="D27" s="2">
        <v>100</v>
      </c>
      <c r="E27" s="2">
        <v>100</v>
      </c>
      <c r="F27" s="2">
        <v>0</v>
      </c>
      <c r="G27" s="4" t="inlineStr">
        <is>
          <t xml:space="preserve">2026-07-31</t>
        </is>
      </c>
      <c r="H27" s="4">
        <v>40</v>
      </c>
      <c r="I27" s="4" t="inlineStr">
        <is>
          <t xml:space="preserve">never</t>
        </is>
      </c>
      <c r="J27" s="8" t="str">
        <f>HYPERLINK("https://clienthub.getjobber.com/client_hubs/fb50dee4-9fed-4f2c-afdd-d19fda7da0ee/invoices/166166578","Open invoice")</f>
      </c>
      <c r="K27" s="3"/>
    </row>
    <row r="28">
      <c r="A28" s="5" t="inlineStr">
        <is>
          <t xml:space="preserve">Not started</t>
        </is>
      </c>
      <c r="B28" t="inlineStr">
        <is>
          <t xml:space="preserve">Jenna Larson</t>
        </is>
      </c>
      <c r="C28" s="4" t="inlineStr">
        <is>
          <t xml:space="preserve">15109</t>
        </is>
      </c>
      <c r="D28" s="2">
        <v>100</v>
      </c>
      <c r="E28" s="2">
        <v>100</v>
      </c>
      <c r="F28" s="2">
        <v>0</v>
      </c>
      <c r="G28" s="4" t="inlineStr">
        <is>
          <t xml:space="preserve">2026-07-31</t>
        </is>
      </c>
      <c r="H28" s="4">
        <v>40</v>
      </c>
      <c r="I28" s="4" t="inlineStr">
        <is>
          <t xml:space="preserve">never</t>
        </is>
      </c>
      <c r="J28" s="8" t="str">
        <f>HYPERLINK("https://clienthub.getjobber.com/client_hubs/fb50dee4-9fed-4f2c-afdd-d19fda7da0ee/invoices/166166471","Open invoice")</f>
      </c>
      <c r="K28" s="3"/>
    </row>
    <row r="29">
      <c r="A29" s="5" t="inlineStr">
        <is>
          <t xml:space="preserve">Not started</t>
        </is>
      </c>
      <c r="B29" t="inlineStr">
        <is>
          <t xml:space="preserve">Hector Soto-Garcia</t>
        </is>
      </c>
      <c r="C29" s="4" t="inlineStr">
        <is>
          <t xml:space="preserve">15149</t>
        </is>
      </c>
      <c r="D29" s="2">
        <v>100</v>
      </c>
      <c r="E29" s="2">
        <v>100</v>
      </c>
      <c r="F29" s="2">
        <v>0</v>
      </c>
      <c r="G29" s="4" t="inlineStr">
        <is>
          <t xml:space="preserve">2026-07-31</t>
        </is>
      </c>
      <c r="H29" s="4">
        <v>40</v>
      </c>
      <c r="I29" s="4" t="inlineStr">
        <is>
          <t xml:space="preserve">never</t>
        </is>
      </c>
      <c r="J29" s="8" t="str">
        <f>HYPERLINK("https://clienthub.getjobber.com/client_hubs/fb50dee4-9fed-4f2c-afdd-d19fda7da0ee/invoices/166166601","Open invoice")</f>
      </c>
      <c r="K29" s="3"/>
    </row>
    <row r="30">
      <c r="A30" s="5" t="inlineStr">
        <is>
          <t xml:space="preserve">Not started</t>
        </is>
      </c>
      <c r="B30" t="inlineStr">
        <is>
          <t xml:space="preserve">Darren Corliss</t>
        </is>
      </c>
      <c r="C30" s="4" t="inlineStr">
        <is>
          <t xml:space="preserve">15208</t>
        </is>
      </c>
      <c r="D30" s="2">
        <v>100</v>
      </c>
      <c r="E30" s="2">
        <v>100</v>
      </c>
      <c r="F30" s="2">
        <v>0</v>
      </c>
      <c r="G30" s="4" t="inlineStr">
        <is>
          <t xml:space="preserve">2026-07-31</t>
        </is>
      </c>
      <c r="H30" s="4">
        <v>40</v>
      </c>
      <c r="I30" s="4" t="inlineStr">
        <is>
          <t xml:space="preserve">yes</t>
        </is>
      </c>
      <c r="J30" s="8" t="str">
        <f>HYPERLINK("https://clienthub.getjobber.com/client_hubs/fb50dee4-9fed-4f2c-afdd-d19fda7da0ee/invoices/166166907","Open invoice")</f>
      </c>
      <c r="K30" s="3"/>
    </row>
    <row r="31">
      <c r="A31" s="5" t="inlineStr">
        <is>
          <t xml:space="preserve">Not started</t>
        </is>
      </c>
      <c r="B31" t="inlineStr">
        <is>
          <t xml:space="preserve">Collin Sidebotham</t>
        </is>
      </c>
      <c r="C31" s="4" t="inlineStr">
        <is>
          <t xml:space="preserve">15129</t>
        </is>
      </c>
      <c r="D31" s="2">
        <v>100</v>
      </c>
      <c r="E31" s="2">
        <v>100</v>
      </c>
      <c r="F31" s="2">
        <v>0</v>
      </c>
      <c r="G31" s="4" t="inlineStr">
        <is>
          <t xml:space="preserve">2026-07-31</t>
        </is>
      </c>
      <c r="H31" s="4">
        <v>40</v>
      </c>
      <c r="I31" s="4" t="inlineStr">
        <is>
          <t xml:space="preserve">never</t>
        </is>
      </c>
      <c r="J31" s="8" t="str">
        <f>HYPERLINK("https://clienthub.getjobber.com/client_hubs/fb50dee4-9fed-4f2c-afdd-d19fda7da0ee/invoices/166166537","Open invoice")</f>
      </c>
      <c r="K31" s="3"/>
    </row>
    <row r="32">
      <c r="A32" s="5" t="inlineStr">
        <is>
          <t xml:space="preserve">Not started</t>
        </is>
      </c>
      <c r="B32" t="inlineStr">
        <is>
          <t xml:space="preserve">Tom &amp; Sarah Long</t>
        </is>
      </c>
      <c r="C32" s="4" t="inlineStr">
        <is>
          <t xml:space="preserve">14880</t>
        </is>
      </c>
      <c r="D32" s="2">
        <v>100</v>
      </c>
      <c r="E32" s="2">
        <v>100</v>
      </c>
      <c r="F32" s="2">
        <v>0</v>
      </c>
      <c r="G32" s="4" t="inlineStr">
        <is>
          <t xml:space="preserve">2026-07-24</t>
        </is>
      </c>
      <c r="H32" s="4">
        <v>47</v>
      </c>
      <c r="I32" s="4" t="inlineStr">
        <is>
          <t xml:space="preserve">yes</t>
        </is>
      </c>
      <c r="J32" s="8" t="str">
        <f>HYPERLINK("https://clienthub.getjobber.com/client_hubs/fb50dee4-9fed-4f2c-afdd-d19fda7da0ee/invoices/165334869","Open invoice")</f>
      </c>
      <c r="K32" s="3"/>
    </row>
    <row r="33">
      <c r="A33" s="5" t="inlineStr">
        <is>
          <t xml:space="preserve">Not started</t>
        </is>
      </c>
      <c r="B33" t="inlineStr">
        <is>
          <t xml:space="preserve">Nichole Avila</t>
        </is>
      </c>
      <c r="C33" s="4" t="inlineStr">
        <is>
          <t xml:space="preserve">14365</t>
        </is>
      </c>
      <c r="D33" s="2">
        <v>89</v>
      </c>
      <c r="E33" s="2">
        <v>89</v>
      </c>
      <c r="F33" s="2">
        <v>0</v>
      </c>
      <c r="G33" s="4" t="inlineStr">
        <is>
          <t xml:space="preserve">2026-06-30</t>
        </is>
      </c>
      <c r="H33" s="4">
        <v>71</v>
      </c>
      <c r="I33" s="4" t="inlineStr">
        <is>
          <t xml:space="preserve">never</t>
        </is>
      </c>
      <c r="J33" s="8" t="str">
        <f>HYPERLINK("https://clienthub.getjobber.com/client_hubs/fb50dee4-9fed-4f2c-afdd-d19fda7da0ee/invoices/162089054","Open invoice")</f>
      </c>
      <c r="K33" s="3"/>
    </row>
    <row r="34">
      <c r="A34" s="5" t="inlineStr">
        <is>
          <t xml:space="preserve">Not started</t>
        </is>
      </c>
      <c r="B34" t="inlineStr">
        <is>
          <t xml:space="preserve">Scott Barker</t>
        </is>
      </c>
      <c r="C34" s="4" t="inlineStr">
        <is>
          <t xml:space="preserve">14952</t>
        </is>
      </c>
      <c r="D34" s="2">
        <v>85</v>
      </c>
      <c r="E34" s="2">
        <v>85</v>
      </c>
      <c r="F34" s="2">
        <v>0</v>
      </c>
      <c r="G34" s="4" t="inlineStr">
        <is>
          <t xml:space="preserve">2026-07-31</t>
        </is>
      </c>
      <c r="H34" s="4">
        <v>40</v>
      </c>
      <c r="I34" s="4" t="inlineStr">
        <is>
          <t xml:space="preserve">yes</t>
        </is>
      </c>
      <c r="J34" s="8" t="str">
        <f>HYPERLINK("https://clienthub.getjobber.com/client_hubs/fb50dee4-9fed-4f2c-afdd-d19fda7da0ee/invoices/166165865","Open invoice")</f>
      </c>
      <c r="K34" s="3"/>
    </row>
    <row r="35">
      <c r="A35" s="5" t="inlineStr">
        <is>
          <t xml:space="preserve">Not started</t>
        </is>
      </c>
      <c r="B35" t="inlineStr">
        <is>
          <t xml:space="preserve">Anne Gallagher</t>
        </is>
      </c>
      <c r="C35" s="4" t="inlineStr">
        <is>
          <t xml:space="preserve">15200</t>
        </is>
      </c>
      <c r="D35" s="2">
        <v>85</v>
      </c>
      <c r="E35" s="2">
        <v>85</v>
      </c>
      <c r="F35" s="2">
        <v>0</v>
      </c>
      <c r="G35" s="4" t="inlineStr">
        <is>
          <t xml:space="preserve">2026-07-31</t>
        </is>
      </c>
      <c r="H35" s="4">
        <v>40</v>
      </c>
      <c r="I35" s="4" t="inlineStr">
        <is>
          <t xml:space="preserve">never</t>
        </is>
      </c>
      <c r="J35" s="8" t="str">
        <f>HYPERLINK("https://clienthub.getjobber.com/client_hubs/fb50dee4-9fed-4f2c-afdd-d19fda7da0ee/invoices/166166882","Open invoice")</f>
      </c>
      <c r="K35" s="3"/>
    </row>
    <row r="36">
      <c r="A36" s="5" t="inlineStr">
        <is>
          <t xml:space="preserve">Not started</t>
        </is>
      </c>
      <c r="B36" t="inlineStr">
        <is>
          <t xml:space="preserve">Jonae</t>
        </is>
      </c>
      <c r="C36" s="4" t="inlineStr">
        <is>
          <t xml:space="preserve">15263</t>
        </is>
      </c>
      <c r="D36" s="2">
        <v>50</v>
      </c>
      <c r="E36" s="2">
        <v>50</v>
      </c>
      <c r="F36" s="2">
        <v>0</v>
      </c>
      <c r="G36" s="4" t="inlineStr">
        <is>
          <t xml:space="preserve">2026-07-31</t>
        </is>
      </c>
      <c r="H36" s="4">
        <v>40</v>
      </c>
      <c r="I36" s="4" t="inlineStr">
        <is>
          <t xml:space="preserve">never</t>
        </is>
      </c>
      <c r="J36" s="8" t="str">
        <f>HYPERLINK("https://clienthub.getjobber.com/client_hubs/fb50dee4-9fed-4f2c-afdd-d19fda7da0ee/invoices/166167128","Open invoice")</f>
      </c>
      <c r="K36" s="3"/>
    </row>
    <row r="37">
      <c r="A37" t="inlineStr">
        <is>
          <t xml:space="preserve"/>
        </is>
      </c>
      <c r="B37" s="6" t="inlineStr">
        <is>
          <t xml:space="preserve">TOTAL</t>
        </is>
      </c>
      <c r="D37" s="7">
        <v>5969</v>
      </c>
    </row>
  </sheetData>
  <autoFilter ref="A1:K36"/>
  <conditionalFormatting sqref="A2:K36">
    <cfRule type="expression" dxfId="0" priority="1">
      <formula>$A2="PAID"</formula>
    </cfRule>
    <cfRule type="expression" dxfId="0" priority="2">
      <formula>$A2="Autopay switched on"</formula>
    </cfRule>
    <cfRule type="expression" dxfId="1" priority="3">
      <formula>$A2="Promised to pay"</formula>
    </cfRule>
    <cfRule type="expression" dxfId="2" priority="4">
      <formula>OR($A2="Bad number",$A2="Disputed")</formula>
    </cfRule>
  </conditionalFormatting>
  <dataValidations count="1">
    <dataValidation type="list" allowBlank="1" showInputMessage="1" showErrorMessage="0" sqref="A2:A36">
      <formula1>"Not started,PAID,Promised to pay,Left voicemail,No answer,Bad number,Disputed,Autopay switched on"</formula1>
    </dataValidation>
  </dataValidations>
  <pageMargins left="0.5" right="0.5" top="0.6" bottom="0.6" header="0.3" footer="0.3"/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64" customWidth="1"/>
    <col min="2" max="2" width="10" customWidth="1"/>
    <col min="3" max="3" width="10" customWidth="1"/>
    <col min="4" max="4" width="14" customWidth="1"/>
  </cols>
  <sheetData>
    <row r="1" ht="26" customHeight="1">
      <c r="A1" s="9" t="inlineStr">
        <is>
          <t xml:space="preserve">Got Moles - collections, past due more than 14 days</t>
        </is>
      </c>
    </row>
    <row r="2">
      <c r="A2" s="3" t="inlineStr">
        <is>
          <t xml:space="preserve">Pulled live from Jobber 2026-09-09 17:21 UTC. Read-only - nothing was sent.</t>
        </is>
      </c>
    </row>
    <row r="3"/>
    <row r="4">
      <c r="A4" s="1" t="inlineStr">
        <is>
          <t xml:space="preserve">Cut</t>
        </is>
      </c>
      <c r="B4" s="1" t="inlineStr">
        <is>
          <t xml:space="preserve">Clients</t>
        </is>
      </c>
      <c r="C4" s="1" t="inlineStr">
        <is>
          <t xml:space="preserve">Invoices</t>
        </is>
      </c>
      <c r="D4" s="1" t="inlineStr">
        <is>
          <t xml:space="preserve">Balance</t>
        </is>
      </c>
    </row>
    <row r="5">
      <c r="A5" t="inlineStr">
        <is>
          <t xml:space="preserve">TOTAL</t>
        </is>
      </c>
      <c r="B5" s="4">
        <v>29</v>
      </c>
      <c r="C5" s="4">
        <v>35</v>
      </c>
      <c r="D5" s="2">
        <v>5969</v>
      </c>
    </row>
    <row r="6"/>
    <row r="7">
      <c r="A7" t="inlineStr">
        <is>
          <t xml:space="preserve">Card already on file - charge it</t>
        </is>
      </c>
      <c r="B7" s="4">
        <v>17</v>
      </c>
      <c r="C7" s="4">
        <v>22</v>
      </c>
      <c r="D7" s="2">
        <v>3779</v>
      </c>
    </row>
    <row r="8">
      <c r="A8" t="inlineStr">
        <is>
          <t xml:space="preserve">No card on file - chase and convert</t>
        </is>
      </c>
      <c r="B8" s="4">
        <v>12</v>
      </c>
      <c r="C8" s="4">
        <v>13</v>
      </c>
      <c r="D8" s="2">
        <v>2190</v>
      </c>
    </row>
    <row r="9"/>
    <row r="10">
      <c r="A10" t="inlineStr">
        <is>
          <t xml:space="preserve">15-30 days</t>
        </is>
      </c>
      <c r="B10" s="4">
        <v>3</v>
      </c>
      <c r="C10" s="4">
        <v>3</v>
      </c>
      <c r="D10" s="2">
        <v>1125</v>
      </c>
    </row>
    <row r="11">
      <c r="A11" t="inlineStr">
        <is>
          <t xml:space="preserve">31-60 days</t>
        </is>
      </c>
      <c r="B11" s="4">
        <v>20</v>
      </c>
      <c r="C11" s="4">
        <v>20</v>
      </c>
      <c r="D11" s="2">
        <v>3225</v>
      </c>
    </row>
    <row r="12">
      <c r="A12" t="inlineStr">
        <is>
          <t xml:space="preserve">61-90 days</t>
        </is>
      </c>
      <c r="B12" s="4">
        <v>3</v>
      </c>
      <c r="C12" s="4">
        <v>5</v>
      </c>
      <c r="D12" s="2">
        <v>689</v>
      </c>
    </row>
    <row r="13">
      <c r="A13" t="inlineStr">
        <is>
          <t xml:space="preserve">90+ days</t>
        </is>
      </c>
      <c r="B13" s="4">
        <v>3</v>
      </c>
      <c r="C13" s="4">
        <v>7</v>
      </c>
      <c r="D13" s="2">
        <v>930</v>
      </c>
    </row>
    <row r="14"/>
    <row r="15">
      <c r="A15" s="1" t="inlineStr">
        <is>
          <t xml:space="preserve">Notes</t>
        </is>
      </c>
    </row>
    <row r="16" ht="30" customHeight="1">
      <c r="A16" s="3" t="inlineStr">
        <is>
          <t xml:space="preserve">Zero failed card charges in 4,258 payment records back to 1 June - nothing bounced. The card-on-file balances were never charged, which is an autopay toggle, not a collection.</t>
        </is>
      </c>
    </row>
    <row r="17" ht="30" customHeight="1">
      <c r="A17" s="3" t="inlineStr">
        <is>
          <t xml:space="preserve">23 of 29 clients have never opened the invoice in the client hub, including both 100-day accounts. Text is not landing for this cohort.</t>
        </is>
      </c>
    </row>
    <row r="18" ht="30" customHeight="1">
      <c r="A18" s="3" t="inlineStr">
        <is>
          <t xml:space="preserve">Jenna Larson appears twice on the same phone number (253-228-6145) - duplicate client records, $300 + $100. One call, $400.</t>
        </is>
      </c>
    </row>
    <row r="19" ht="30" customHeight="1">
      <c r="A19" s="3" t="inlineStr">
        <is>
          <t xml:space="preserve">Filter is strictly more than 14 days past due. Jody Sanders at 16 days is in; anything at 12-14 days is out.</t>
        </is>
      </c>
    </row>
    <row r="20" ht="30" customHeight="1">
      <c r="A20" s="3" t="inlineStr">
        <is>
          <t xml:space="preserve">The awaiting_payment status bucket was checked for lag - no overdue invoices hiding there. The 165 past_due records are the complete set.</t>
        </is>
      </c>
    </row>
  </sheetData>
  <pageMargins left="0.5" right="0.5" top="0.6" bottom="0.6" header="0.3" footer="0.3"/>
</worksheet>
</file>