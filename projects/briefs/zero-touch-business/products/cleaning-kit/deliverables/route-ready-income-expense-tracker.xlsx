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Entries" sheetId="2" r:id="rId2"/>
    <sheet name="Categories" sheetId="3" r:id="rId3"/>
    <sheet name="Monthly P&amp;L" sheetId="4" r:id="rId4"/>
    <sheet name="Year Dashboard" sheetId="5" r:id="rId5"/>
  </sheets>
  <calcPr calcId="171027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0"/>
    <numFmt numFmtId="166" formatCode="mmm\ yyyy"/>
    <numFmt numFmtId="167" formatCode="mmm"/>
    <numFmt numFmtId="168" formatCode="yyyy\-mm\-dd"/>
  </numFmts>
  <fonts count="5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1A7F4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NumberFormat="1" applyFont="1" applyFill="1"/>
    <xf numFmtId="0" fontId="4" fillId="0" borderId="0" xfId="0" applyNumberFormat="1" applyFont="1" applyFill="1"/>
    <xf numFmtId="0" fontId="2" fillId="4" borderId="0" xfId="0" applyNumberFormat="1" applyFont="1" applyFill="1"/>
    <xf numFmtId="0" fontId="1" fillId="0" borderId="0" xfId="0" applyNumberFormat="1" applyFont="1" applyFill="1"/>
    <xf numFmtId="0" fontId="0" fillId="2" borderId="0" xfId="0" applyNumberFormat="1" applyFont="1" applyFill="1"/>
    <xf numFmtId="165" fontId="0" fillId="2" borderId="0" xfId="0" applyNumberFormat="1" applyFont="1" applyFill="1"/>
    <xf numFmtId="164" fontId="0" fillId="2" borderId="0" xfId="0" applyNumberFormat="1" applyFont="1" applyFill="1"/>
    <xf numFmtId="168" fontId="0" fillId="2" borderId="0" xfId="0" applyNumberFormat="1" applyFont="1" applyFill="1"/>
    <xf numFmtId="1" fontId="0" fillId="2" borderId="0" xfId="0" applyNumberFormat="1" applyFont="1" applyFill="1"/>
    <xf numFmtId="0" fontId="0" fillId="3" borderId="0" xfId="0" applyNumberFormat="1" applyFont="1" applyFill="1"/>
    <xf numFmtId="165" fontId="0" fillId="3" borderId="0" xfId="0" applyNumberFormat="1" applyFont="1" applyFill="1"/>
    <xf numFmtId="164" fontId="0" fillId="3" borderId="0" xfId="0" applyNumberFormat="1" applyFont="1" applyFill="1"/>
    <xf numFmtId="9" fontId="0" fillId="3" borderId="0" xfId="0" applyNumberFormat="1" applyFont="1" applyFill="1"/>
    <xf numFmtId="166" fontId="0" fillId="3" borderId="0" xfId="0" applyNumberFormat="1" applyFont="1" applyFill="1"/>
    <xf numFmtId="0" fontId="3" fillId="0" borderId="0" xfId="0" applyNumberFormat="1" applyFont="1" applyFill="1" applyAlignment="1">
      <alignment wrapText="1"/>
    </xf>
    <xf numFmtId="0" fontId="0" fillId="0" borderId="0" xfId="0" applyNumberFormat="1" applyFont="1" applyFill="1" applyAlignment="1">
      <alignment wrapText="1" vertical="top"/>
    </xf>
    <xf numFmtId="167" fontId="2" fillId="4" borderId="0" xfId="0" applyNumberFormat="1" applyFont="1" applyFill="1"/>
    <xf numFmtId="0" fontId="0" fillId="3" borderId="0" xfId="0" applyNumberFormat="1" applyFont="1" applyFill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s="15" t="inlineStr">
        <is>
          <t xml:space="preserve">Income &amp; Expense Tracker — how to use
One entry tab, everything else computes. Every dollar in or out gets one row on Entries, dated. Categories map to the common US Schedule C-style deduction buckets so tax time is a filter, not an archaeology dig.
IMPORTANT: Categories are common deduction categories for a US sole proprietor — confirm everything with your tax pro. This sheet organizes your numbers; it is not tax advice.
1. Entries: fill the yellow columns. Amount is always positive — the Type column carries the sign logic. For Vehicle / Mileage rows, log MILES DRIVEN in the Miles column (leave Amount 0).
2. Categories: set up once. Update the IRS standard mileage rate each January.
3. Monthly P&amp;L and Year Dashboard build themselves.
Habit that makes this work: enter every transaction within 48 hours. Ten minutes on Sunday beats four miserable days in April.</t>
        </is>
      </c>
    </row>
  </sheetData>
  <mergeCells count="1">
    <mergeCell ref="A1:F22"/>
  </mergeCell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  <col min="2" max="2" width="10" customWidth="1"/>
    <col min="3" max="3" width="22" customWidth="1"/>
    <col min="4" max="4" width="36" customWidth="1"/>
    <col min="5" max="5" width="12" customWidth="1"/>
    <col min="6" max="6" width="15" customWidth="1"/>
    <col min="7" max="7" width="12" customWidth="1"/>
    <col min="8" max="8" width="18" customWidth="1"/>
    <col min="10" max="10" width="60" customWidth="1"/>
  </cols>
  <sheetData>
    <row r="1">
      <c r="A1" s="2" t="inlineStr">
        <is>
          <t xml:space="preserve">Date</t>
        </is>
      </c>
      <c r="B1" s="2" t="inlineStr">
        <is>
          <t xml:space="preserve">Type</t>
        </is>
      </c>
      <c r="C1" s="2" t="inlineStr">
        <is>
          <t xml:space="preserve">Category</t>
        </is>
      </c>
      <c r="D1" s="2" t="inlineStr">
        <is>
          <t xml:space="preserve">Description</t>
        </is>
      </c>
      <c r="E1" s="2" t="inlineStr">
        <is>
          <t xml:space="preserve">Amount ($)</t>
        </is>
      </c>
      <c r="F1" s="2" t="inlineStr">
        <is>
          <t xml:space="preserve">Payment Method</t>
        </is>
      </c>
      <c r="G1" s="2" t="inlineStr">
        <is>
          <t xml:space="preserve">Month</t>
        </is>
      </c>
      <c r="H1" s="2" t="inlineStr">
        <is>
          <t xml:space="preserve">Miles (if vehicle row)</t>
        </is>
      </c>
      <c r="J1" s="14" t="inlineStr">
        <is>
          <t xml:space="preserve">Categories are common deduction categories for a US sole proprietor — confirm everything with your tax pro. This sheet organizes your numbers; it is not tax advice.</t>
        </is>
      </c>
    </row>
    <row r="2">
      <c r="A2" s="7">
        <v>46205</v>
      </c>
      <c r="B2" s="4" t="inlineStr">
        <is>
          <t xml:space="preserve">Income</t>
        </is>
      </c>
      <c r="C2" s="4" t="inlineStr">
        <is>
          <t xml:space="preserve">Cleaning revenue</t>
        </is>
      </c>
      <c r="D2" s="4" t="inlineStr">
        <is>
          <t xml:space="preserve">Harmon — biweekly clean</t>
        </is>
      </c>
      <c r="E2" s="6">
        <v>150.0</v>
      </c>
      <c r="F2" s="4" t="inlineStr">
        <is>
          <t xml:space="preserve">Zelle</t>
        </is>
      </c>
      <c r="G2" s="13">
        <f>IF(A2="","",EOMONTH(A2,0))</f>
      </c>
    </row>
    <row r="3">
      <c r="A3" s="7">
        <v>46205</v>
      </c>
      <c r="B3" s="4" t="inlineStr">
        <is>
          <t xml:space="preserve">Expense</t>
        </is>
      </c>
      <c r="C3" s="4" t="inlineStr">
        <is>
          <t xml:space="preserve">Supplies</t>
        </is>
      </c>
      <c r="D3" s="4" t="inlineStr">
        <is>
          <t xml:space="preserve">Costco — microfiber, degreaser, bags</t>
        </is>
      </c>
      <c r="E3" s="6">
        <v>64.38</v>
      </c>
      <c r="F3" s="4" t="inlineStr">
        <is>
          <t xml:space="preserve">Card</t>
        </is>
      </c>
      <c r="G3" s="13">
        <f>IF(A3="","",EOMONTH(A3,0))</f>
      </c>
    </row>
    <row r="4">
      <c r="A4" s="7">
        <v>46206</v>
      </c>
      <c r="B4" s="4" t="inlineStr">
        <is>
          <t xml:space="preserve">Expense</t>
        </is>
      </c>
      <c r="C4" s="4" t="inlineStr">
        <is>
          <t xml:space="preserve">Vehicle / Mileage</t>
        </is>
      </c>
      <c r="D4" s="4" t="inlineStr">
        <is>
          <t xml:space="preserve">Route miles Mon–Fri</t>
        </is>
      </c>
      <c r="E4" s="6">
        <v>0.0</v>
      </c>
      <c r="F4" s="4" t="inlineStr">
        <is>
          <t xml:space="preserve">—</t>
        </is>
      </c>
      <c r="G4" s="13">
        <f>IF(A4="","",EOMONTH(A4,0))</f>
      </c>
      <c r="H4" s="8">
        <v>118</v>
      </c>
    </row>
    <row r="5">
      <c r="A5" s="7">
        <v>46208</v>
      </c>
      <c r="B5" s="4" t="inlineStr">
        <is>
          <t xml:space="preserve">Expense</t>
        </is>
      </c>
      <c r="C5" s="4" t="inlineStr">
        <is>
          <t xml:space="preserve">Advertising</t>
        </is>
      </c>
      <c r="D5" s="4" t="inlineStr">
        <is>
          <t xml:space="preserve">Google Local Services ads</t>
        </is>
      </c>
      <c r="E5" s="6">
        <v>75.0</v>
      </c>
      <c r="F5" s="4" t="inlineStr">
        <is>
          <t xml:space="preserve">Card</t>
        </is>
      </c>
      <c r="G5" s="13">
        <f>IF(A5="","",EOMONTH(A5,0))</f>
      </c>
    </row>
    <row r="6">
      <c r="G6" s="13">
        <f>IF(A6="","",EOMONTH(A6,0))</f>
      </c>
    </row>
    <row r="7">
      <c r="G7" s="13">
        <f>IF(A7="","",EOMONTH(A7,0))</f>
      </c>
    </row>
    <row r="8">
      <c r="G8" s="13">
        <f>IF(A8="","",EOMONTH(A8,0))</f>
      </c>
    </row>
    <row r="9">
      <c r="G9" s="13">
        <f>IF(A9="","",EOMONTH(A9,0))</f>
      </c>
    </row>
    <row r="10">
      <c r="G10" s="13">
        <f>IF(A10="","",EOMONTH(A10,0))</f>
      </c>
    </row>
    <row r="11">
      <c r="G11" s="13">
        <f>IF(A11="","",EOMONTH(A11,0))</f>
      </c>
    </row>
    <row r="12">
      <c r="G12" s="13">
        <f>IF(A12="","",EOMONTH(A12,0))</f>
      </c>
    </row>
    <row r="13">
      <c r="G13" s="13">
        <f>IF(A13="","",EOMONTH(A13,0))</f>
      </c>
    </row>
    <row r="14">
      <c r="G14" s="13">
        <f>IF(A14="","",EOMONTH(A14,0))</f>
      </c>
    </row>
    <row r="15">
      <c r="G15" s="13">
        <f>IF(A15="","",EOMONTH(A15,0))</f>
      </c>
    </row>
    <row r="16">
      <c r="G16" s="13">
        <f>IF(A16="","",EOMONTH(A16,0))</f>
      </c>
    </row>
    <row r="17">
      <c r="G17" s="13">
        <f>IF(A17="","",EOMONTH(A17,0))</f>
      </c>
    </row>
    <row r="18">
      <c r="G18" s="13">
        <f>IF(A18="","",EOMONTH(A18,0))</f>
      </c>
    </row>
    <row r="19">
      <c r="G19" s="13">
        <f>IF(A19="","",EOMONTH(A19,0))</f>
      </c>
    </row>
    <row r="20">
      <c r="G20" s="13">
        <f>IF(A20="","",EOMONTH(A20,0))</f>
      </c>
    </row>
    <row r="21">
      <c r="G21" s="13">
        <f>IF(A21="","",EOMONTH(A21,0))</f>
      </c>
    </row>
    <row r="22">
      <c r="G22" s="13">
        <f>IF(A22="","",EOMONTH(A22,0))</f>
      </c>
    </row>
    <row r="23">
      <c r="G23" s="13">
        <f>IF(A23="","",EOMONTH(A23,0))</f>
      </c>
    </row>
    <row r="24">
      <c r="G24" s="13">
        <f>IF(A24="","",EOMONTH(A24,0))</f>
      </c>
    </row>
    <row r="25">
      <c r="G25" s="13">
        <f>IF(A25="","",EOMONTH(A25,0))</f>
      </c>
    </row>
    <row r="26">
      <c r="G26" s="13">
        <f>IF(A26="","",EOMONTH(A26,0))</f>
      </c>
    </row>
    <row r="27">
      <c r="G27" s="13">
        <f>IF(A27="","",EOMONTH(A27,0))</f>
      </c>
    </row>
    <row r="28">
      <c r="G28" s="13">
        <f>IF(A28="","",EOMONTH(A28,0))</f>
      </c>
    </row>
    <row r="29">
      <c r="G29" s="13">
        <f>IF(A29="","",EOMONTH(A29,0))</f>
      </c>
    </row>
    <row r="30">
      <c r="G30" s="13">
        <f>IF(A30="","",EOMONTH(A30,0))</f>
      </c>
    </row>
    <row r="31">
      <c r="G31" s="13">
        <f>IF(A31="","",EOMONTH(A31,0))</f>
      </c>
    </row>
    <row r="32">
      <c r="G32" s="13">
        <f>IF(A32="","",EOMONTH(A32,0))</f>
      </c>
    </row>
    <row r="33">
      <c r="G33" s="13">
        <f>IF(A33="","",EOMONTH(A33,0))</f>
      </c>
    </row>
    <row r="34">
      <c r="G34" s="13">
        <f>IF(A34="","",EOMONTH(A34,0))</f>
      </c>
    </row>
    <row r="35">
      <c r="G35" s="13">
        <f>IF(A35="","",EOMONTH(A35,0))</f>
      </c>
    </row>
    <row r="36">
      <c r="G36" s="13">
        <f>IF(A36="","",EOMONTH(A36,0))</f>
      </c>
    </row>
    <row r="37">
      <c r="G37" s="13">
        <f>IF(A37="","",EOMONTH(A37,0))</f>
      </c>
    </row>
    <row r="38">
      <c r="G38" s="13">
        <f>IF(A38="","",EOMONTH(A38,0))</f>
      </c>
    </row>
    <row r="39">
      <c r="G39" s="13">
        <f>IF(A39="","",EOMONTH(A39,0))</f>
      </c>
    </row>
    <row r="40">
      <c r="G40" s="13">
        <f>IF(A40="","",EOMONTH(A40,0))</f>
      </c>
    </row>
    <row r="41">
      <c r="G41" s="13">
        <f>IF(A41="","",EOMONTH(A41,0))</f>
      </c>
    </row>
    <row r="42">
      <c r="G42" s="13">
        <f>IF(A42="","",EOMONTH(A42,0))</f>
      </c>
    </row>
    <row r="43">
      <c r="G43" s="13">
        <f>IF(A43="","",EOMONTH(A43,0))</f>
      </c>
    </row>
    <row r="44">
      <c r="G44" s="13">
        <f>IF(A44="","",EOMONTH(A44,0))</f>
      </c>
    </row>
    <row r="45">
      <c r="G45" s="13">
        <f>IF(A45="","",EOMONTH(A45,0))</f>
      </c>
    </row>
    <row r="46">
      <c r="G46" s="13">
        <f>IF(A46="","",EOMONTH(A46,0))</f>
      </c>
    </row>
    <row r="47">
      <c r="G47" s="13">
        <f>IF(A47="","",EOMONTH(A47,0))</f>
      </c>
    </row>
    <row r="48">
      <c r="G48" s="13">
        <f>IF(A48="","",EOMONTH(A48,0))</f>
      </c>
    </row>
    <row r="49">
      <c r="G49" s="13">
        <f>IF(A49="","",EOMONTH(A49,0))</f>
      </c>
    </row>
    <row r="50">
      <c r="G50" s="13">
        <f>IF(A50="","",EOMONTH(A50,0))</f>
      </c>
    </row>
    <row r="51">
      <c r="G51" s="13">
        <f>IF(A51="","",EOMONTH(A51,0))</f>
      </c>
    </row>
    <row r="52">
      <c r="G52" s="13">
        <f>IF(A52="","",EOMONTH(A52,0))</f>
      </c>
    </row>
    <row r="53">
      <c r="G53" s="13">
        <f>IF(A53="","",EOMONTH(A53,0))</f>
      </c>
    </row>
    <row r="54">
      <c r="G54" s="13">
        <f>IF(A54="","",EOMONTH(A54,0))</f>
      </c>
    </row>
    <row r="55">
      <c r="G55" s="13">
        <f>IF(A55="","",EOMONTH(A55,0))</f>
      </c>
    </row>
    <row r="56">
      <c r="G56" s="13">
        <f>IF(A56="","",EOMONTH(A56,0))</f>
      </c>
    </row>
    <row r="57">
      <c r="G57" s="13">
        <f>IF(A57="","",EOMONTH(A57,0))</f>
      </c>
    </row>
    <row r="58">
      <c r="G58" s="13">
        <f>IF(A58="","",EOMONTH(A58,0))</f>
      </c>
    </row>
    <row r="59">
      <c r="G59" s="13">
        <f>IF(A59="","",EOMONTH(A59,0))</f>
      </c>
    </row>
    <row r="60">
      <c r="G60" s="13">
        <f>IF(A60="","",EOMONTH(A60,0))</f>
      </c>
    </row>
    <row r="61">
      <c r="G61" s="13">
        <f>IF(A61="","",EOMONTH(A61,0))</f>
      </c>
    </row>
    <row r="62">
      <c r="G62" s="13">
        <f>IF(A62="","",EOMONTH(A62,0))</f>
      </c>
    </row>
    <row r="63">
      <c r="G63" s="13">
        <f>IF(A63="","",EOMONTH(A63,0))</f>
      </c>
    </row>
    <row r="64">
      <c r="G64" s="13">
        <f>IF(A64="","",EOMONTH(A64,0))</f>
      </c>
    </row>
    <row r="65">
      <c r="G65" s="13">
        <f>IF(A65="","",EOMONTH(A65,0))</f>
      </c>
    </row>
    <row r="66">
      <c r="G66" s="13">
        <f>IF(A66="","",EOMONTH(A66,0))</f>
      </c>
    </row>
    <row r="67">
      <c r="G67" s="13">
        <f>IF(A67="","",EOMONTH(A67,0))</f>
      </c>
    </row>
    <row r="68">
      <c r="G68" s="13">
        <f>IF(A68="","",EOMONTH(A68,0))</f>
      </c>
    </row>
    <row r="69">
      <c r="G69" s="13">
        <f>IF(A69="","",EOMONTH(A69,0))</f>
      </c>
    </row>
    <row r="70">
      <c r="G70" s="13">
        <f>IF(A70="","",EOMONTH(A70,0))</f>
      </c>
    </row>
    <row r="71">
      <c r="G71" s="13">
        <f>IF(A71="","",EOMONTH(A71,0))</f>
      </c>
    </row>
    <row r="72">
      <c r="G72" s="13">
        <f>IF(A72="","",EOMONTH(A72,0))</f>
      </c>
    </row>
    <row r="73">
      <c r="G73" s="13">
        <f>IF(A73="","",EOMONTH(A73,0))</f>
      </c>
    </row>
    <row r="74">
      <c r="G74" s="13">
        <f>IF(A74="","",EOMONTH(A74,0))</f>
      </c>
    </row>
    <row r="75">
      <c r="G75" s="13">
        <f>IF(A75="","",EOMONTH(A75,0))</f>
      </c>
    </row>
    <row r="76">
      <c r="G76" s="13">
        <f>IF(A76="","",EOMONTH(A76,0))</f>
      </c>
    </row>
    <row r="77">
      <c r="G77" s="13">
        <f>IF(A77="","",EOMONTH(A77,0))</f>
      </c>
    </row>
    <row r="78">
      <c r="G78" s="13">
        <f>IF(A78="","",EOMONTH(A78,0))</f>
      </c>
    </row>
    <row r="79">
      <c r="G79" s="13">
        <f>IF(A79="","",EOMONTH(A79,0))</f>
      </c>
    </row>
    <row r="80">
      <c r="G80" s="13">
        <f>IF(A80="","",EOMONTH(A80,0))</f>
      </c>
    </row>
    <row r="81">
      <c r="G81" s="13">
        <f>IF(A81="","",EOMONTH(A81,0))</f>
      </c>
    </row>
    <row r="82">
      <c r="G82" s="13">
        <f>IF(A82="","",EOMONTH(A82,0))</f>
      </c>
    </row>
    <row r="83">
      <c r="G83" s="13">
        <f>IF(A83="","",EOMONTH(A83,0))</f>
      </c>
    </row>
    <row r="84">
      <c r="G84" s="13">
        <f>IF(A84="","",EOMONTH(A84,0))</f>
      </c>
    </row>
    <row r="85">
      <c r="G85" s="13">
        <f>IF(A85="","",EOMONTH(A85,0))</f>
      </c>
    </row>
    <row r="86">
      <c r="G86" s="13">
        <f>IF(A86="","",EOMONTH(A86,0))</f>
      </c>
    </row>
    <row r="87">
      <c r="G87" s="13">
        <f>IF(A87="","",EOMONTH(A87,0))</f>
      </c>
    </row>
    <row r="88">
      <c r="G88" s="13">
        <f>IF(A88="","",EOMONTH(A88,0))</f>
      </c>
    </row>
    <row r="89">
      <c r="G89" s="13">
        <f>IF(A89="","",EOMONTH(A89,0))</f>
      </c>
    </row>
    <row r="90">
      <c r="G90" s="13">
        <f>IF(A90="","",EOMONTH(A90,0))</f>
      </c>
    </row>
    <row r="91">
      <c r="G91" s="13">
        <f>IF(A91="","",EOMONTH(A91,0))</f>
      </c>
    </row>
    <row r="92">
      <c r="G92" s="13">
        <f>IF(A92="","",EOMONTH(A92,0))</f>
      </c>
    </row>
    <row r="93">
      <c r="G93" s="13">
        <f>IF(A93="","",EOMONTH(A93,0))</f>
      </c>
    </row>
    <row r="94">
      <c r="G94" s="13">
        <f>IF(A94="","",EOMONTH(A94,0))</f>
      </c>
    </row>
    <row r="95">
      <c r="G95" s="13">
        <f>IF(A95="","",EOMONTH(A95,0))</f>
      </c>
    </row>
    <row r="96">
      <c r="G96" s="13">
        <f>IF(A96="","",EOMONTH(A96,0))</f>
      </c>
    </row>
    <row r="97">
      <c r="G97" s="13">
        <f>IF(A97="","",EOMONTH(A97,0))</f>
      </c>
    </row>
    <row r="98">
      <c r="G98" s="13">
        <f>IF(A98="","",EOMONTH(A98,0))</f>
      </c>
    </row>
    <row r="99">
      <c r="G99" s="13">
        <f>IF(A99="","",EOMONTH(A99,0))</f>
      </c>
    </row>
    <row r="100">
      <c r="G100" s="13">
        <f>IF(A100="","",EOMONTH(A100,0))</f>
      </c>
    </row>
    <row r="101">
      <c r="G101" s="13">
        <f>IF(A101="","",EOMONTH(A101,0))</f>
      </c>
    </row>
    <row r="102">
      <c r="G102" s="13">
        <f>IF(A102="","",EOMONTH(A102,0))</f>
      </c>
    </row>
    <row r="103">
      <c r="G103" s="13">
        <f>IF(A103="","",EOMONTH(A103,0))</f>
      </c>
    </row>
    <row r="104">
      <c r="G104" s="13">
        <f>IF(A104="","",EOMONTH(A104,0))</f>
      </c>
    </row>
    <row r="105">
      <c r="G105" s="13">
        <f>IF(A105="","",EOMONTH(A105,0))</f>
      </c>
    </row>
    <row r="106">
      <c r="G106" s="13">
        <f>IF(A106="","",EOMONTH(A106,0))</f>
      </c>
    </row>
    <row r="107">
      <c r="G107" s="13">
        <f>IF(A107="","",EOMONTH(A107,0))</f>
      </c>
    </row>
    <row r="108">
      <c r="G108" s="13">
        <f>IF(A108="","",EOMONTH(A108,0))</f>
      </c>
    </row>
    <row r="109">
      <c r="G109" s="13">
        <f>IF(A109="","",EOMONTH(A109,0))</f>
      </c>
    </row>
    <row r="110">
      <c r="G110" s="13">
        <f>IF(A110="","",EOMONTH(A110,0))</f>
      </c>
    </row>
    <row r="111">
      <c r="G111" s="13">
        <f>IF(A111="","",EOMONTH(A111,0))</f>
      </c>
    </row>
    <row r="112">
      <c r="G112" s="13">
        <f>IF(A112="","",EOMONTH(A112,0))</f>
      </c>
    </row>
    <row r="113">
      <c r="G113" s="13">
        <f>IF(A113="","",EOMONTH(A113,0))</f>
      </c>
    </row>
    <row r="114">
      <c r="G114" s="13">
        <f>IF(A114="","",EOMONTH(A114,0))</f>
      </c>
    </row>
    <row r="115">
      <c r="G115" s="13">
        <f>IF(A115="","",EOMONTH(A115,0))</f>
      </c>
    </row>
    <row r="116">
      <c r="G116" s="13">
        <f>IF(A116="","",EOMONTH(A116,0))</f>
      </c>
    </row>
    <row r="117">
      <c r="G117" s="13">
        <f>IF(A117="","",EOMONTH(A117,0))</f>
      </c>
    </row>
    <row r="118">
      <c r="G118" s="13">
        <f>IF(A118="","",EOMONTH(A118,0))</f>
      </c>
    </row>
    <row r="119">
      <c r="G119" s="13">
        <f>IF(A119="","",EOMONTH(A119,0))</f>
      </c>
    </row>
    <row r="120">
      <c r="G120" s="13">
        <f>IF(A120="","",EOMONTH(A120,0))</f>
      </c>
    </row>
    <row r="121">
      <c r="G121" s="13">
        <f>IF(A121="","",EOMONTH(A121,0))</f>
      </c>
    </row>
    <row r="122">
      <c r="G122" s="13">
        <f>IF(A122="","",EOMONTH(A122,0))</f>
      </c>
    </row>
    <row r="123">
      <c r="G123" s="13">
        <f>IF(A123="","",EOMONTH(A123,0))</f>
      </c>
    </row>
    <row r="124">
      <c r="G124" s="13">
        <f>IF(A124="","",EOMONTH(A124,0))</f>
      </c>
    </row>
    <row r="125">
      <c r="G125" s="13">
        <f>IF(A125="","",EOMONTH(A125,0))</f>
      </c>
    </row>
    <row r="126">
      <c r="G126" s="13">
        <f>IF(A126="","",EOMONTH(A126,0))</f>
      </c>
    </row>
    <row r="127">
      <c r="G127" s="13">
        <f>IF(A127="","",EOMONTH(A127,0))</f>
      </c>
    </row>
    <row r="128">
      <c r="G128" s="13">
        <f>IF(A128="","",EOMONTH(A128,0))</f>
      </c>
    </row>
    <row r="129">
      <c r="G129" s="13">
        <f>IF(A129="","",EOMONTH(A129,0))</f>
      </c>
    </row>
    <row r="130">
      <c r="G130" s="13">
        <f>IF(A130="","",EOMONTH(A130,0))</f>
      </c>
    </row>
    <row r="131">
      <c r="G131" s="13">
        <f>IF(A131="","",EOMONTH(A131,0))</f>
      </c>
    </row>
    <row r="132">
      <c r="G132" s="13">
        <f>IF(A132="","",EOMONTH(A132,0))</f>
      </c>
    </row>
    <row r="133">
      <c r="G133" s="13">
        <f>IF(A133="","",EOMONTH(A133,0))</f>
      </c>
    </row>
    <row r="134">
      <c r="G134" s="13">
        <f>IF(A134="","",EOMONTH(A134,0))</f>
      </c>
    </row>
    <row r="135">
      <c r="G135" s="13">
        <f>IF(A135="","",EOMONTH(A135,0))</f>
      </c>
    </row>
    <row r="136">
      <c r="G136" s="13">
        <f>IF(A136="","",EOMONTH(A136,0))</f>
      </c>
    </row>
    <row r="137">
      <c r="G137" s="13">
        <f>IF(A137="","",EOMONTH(A137,0))</f>
      </c>
    </row>
    <row r="138">
      <c r="G138" s="13">
        <f>IF(A138="","",EOMONTH(A138,0))</f>
      </c>
    </row>
    <row r="139">
      <c r="G139" s="13">
        <f>IF(A139="","",EOMONTH(A139,0))</f>
      </c>
    </row>
    <row r="140">
      <c r="G140" s="13">
        <f>IF(A140="","",EOMONTH(A140,0))</f>
      </c>
    </row>
    <row r="141">
      <c r="G141" s="13">
        <f>IF(A141="","",EOMONTH(A141,0))</f>
      </c>
    </row>
    <row r="142">
      <c r="G142" s="13">
        <f>IF(A142="","",EOMONTH(A142,0))</f>
      </c>
    </row>
    <row r="143">
      <c r="G143" s="13">
        <f>IF(A143="","",EOMONTH(A143,0))</f>
      </c>
    </row>
    <row r="144">
      <c r="G144" s="13">
        <f>IF(A144="","",EOMONTH(A144,0))</f>
      </c>
    </row>
    <row r="145">
      <c r="G145" s="13">
        <f>IF(A145="","",EOMONTH(A145,0))</f>
      </c>
    </row>
    <row r="146">
      <c r="G146" s="13">
        <f>IF(A146="","",EOMONTH(A146,0))</f>
      </c>
    </row>
    <row r="147">
      <c r="G147" s="13">
        <f>IF(A147="","",EOMONTH(A147,0))</f>
      </c>
    </row>
    <row r="148">
      <c r="G148" s="13">
        <f>IF(A148="","",EOMONTH(A148,0))</f>
      </c>
    </row>
    <row r="149">
      <c r="G149" s="13">
        <f>IF(A149="","",EOMONTH(A149,0))</f>
      </c>
    </row>
    <row r="150">
      <c r="G150" s="13">
        <f>IF(A150="","",EOMONTH(A150,0))</f>
      </c>
    </row>
    <row r="151">
      <c r="G151" s="13">
        <f>IF(A151="","",EOMONTH(A151,0))</f>
      </c>
    </row>
    <row r="152">
      <c r="G152" s="13">
        <f>IF(A152="","",EOMONTH(A152,0))</f>
      </c>
    </row>
    <row r="153">
      <c r="G153" s="13">
        <f>IF(A153="","",EOMONTH(A153,0))</f>
      </c>
    </row>
    <row r="154">
      <c r="G154" s="13">
        <f>IF(A154="","",EOMONTH(A154,0))</f>
      </c>
    </row>
    <row r="155">
      <c r="G155" s="13">
        <f>IF(A155="","",EOMONTH(A155,0))</f>
      </c>
    </row>
    <row r="156">
      <c r="G156" s="13">
        <f>IF(A156="","",EOMONTH(A156,0))</f>
      </c>
    </row>
    <row r="157">
      <c r="G157" s="13">
        <f>IF(A157="","",EOMONTH(A157,0))</f>
      </c>
    </row>
    <row r="158">
      <c r="G158" s="13">
        <f>IF(A158="","",EOMONTH(A158,0))</f>
      </c>
    </row>
    <row r="159">
      <c r="G159" s="13">
        <f>IF(A159="","",EOMONTH(A159,0))</f>
      </c>
    </row>
    <row r="160">
      <c r="G160" s="13">
        <f>IF(A160="","",EOMONTH(A160,0))</f>
      </c>
    </row>
    <row r="161">
      <c r="G161" s="13">
        <f>IF(A161="","",EOMONTH(A161,0))</f>
      </c>
    </row>
    <row r="162">
      <c r="G162" s="13">
        <f>IF(A162="","",EOMONTH(A162,0))</f>
      </c>
    </row>
    <row r="163">
      <c r="G163" s="13">
        <f>IF(A163="","",EOMONTH(A163,0))</f>
      </c>
    </row>
    <row r="164">
      <c r="G164" s="13">
        <f>IF(A164="","",EOMONTH(A164,0))</f>
      </c>
    </row>
    <row r="165">
      <c r="G165" s="13">
        <f>IF(A165="","",EOMONTH(A165,0))</f>
      </c>
    </row>
    <row r="166">
      <c r="G166" s="13">
        <f>IF(A166="","",EOMONTH(A166,0))</f>
      </c>
    </row>
    <row r="167">
      <c r="G167" s="13">
        <f>IF(A167="","",EOMONTH(A167,0))</f>
      </c>
    </row>
    <row r="168">
      <c r="G168" s="13">
        <f>IF(A168="","",EOMONTH(A168,0))</f>
      </c>
    </row>
    <row r="169">
      <c r="G169" s="13">
        <f>IF(A169="","",EOMONTH(A169,0))</f>
      </c>
    </row>
    <row r="170">
      <c r="G170" s="13">
        <f>IF(A170="","",EOMONTH(A170,0))</f>
      </c>
    </row>
    <row r="171">
      <c r="G171" s="13">
        <f>IF(A171="","",EOMONTH(A171,0))</f>
      </c>
    </row>
    <row r="172">
      <c r="G172" s="13">
        <f>IF(A172="","",EOMONTH(A172,0))</f>
      </c>
    </row>
    <row r="173">
      <c r="G173" s="13">
        <f>IF(A173="","",EOMONTH(A173,0))</f>
      </c>
    </row>
    <row r="174">
      <c r="G174" s="13">
        <f>IF(A174="","",EOMONTH(A174,0))</f>
      </c>
    </row>
    <row r="175">
      <c r="G175" s="13">
        <f>IF(A175="","",EOMONTH(A175,0))</f>
      </c>
    </row>
    <row r="176">
      <c r="G176" s="13">
        <f>IF(A176="","",EOMONTH(A176,0))</f>
      </c>
    </row>
    <row r="177">
      <c r="G177" s="13">
        <f>IF(A177="","",EOMONTH(A177,0))</f>
      </c>
    </row>
    <row r="178">
      <c r="G178" s="13">
        <f>IF(A178="","",EOMONTH(A178,0))</f>
      </c>
    </row>
    <row r="179">
      <c r="G179" s="13">
        <f>IF(A179="","",EOMONTH(A179,0))</f>
      </c>
    </row>
    <row r="180">
      <c r="G180" s="13">
        <f>IF(A180="","",EOMONTH(A180,0))</f>
      </c>
    </row>
    <row r="181">
      <c r="G181" s="13">
        <f>IF(A181="","",EOMONTH(A181,0))</f>
      </c>
    </row>
    <row r="182">
      <c r="G182" s="13">
        <f>IF(A182="","",EOMONTH(A182,0))</f>
      </c>
    </row>
    <row r="183">
      <c r="G183" s="13">
        <f>IF(A183="","",EOMONTH(A183,0))</f>
      </c>
    </row>
    <row r="184">
      <c r="G184" s="13">
        <f>IF(A184="","",EOMONTH(A184,0))</f>
      </c>
    </row>
    <row r="185">
      <c r="G185" s="13">
        <f>IF(A185="","",EOMONTH(A185,0))</f>
      </c>
    </row>
    <row r="186">
      <c r="G186" s="13">
        <f>IF(A186="","",EOMONTH(A186,0))</f>
      </c>
    </row>
    <row r="187">
      <c r="G187" s="13">
        <f>IF(A187="","",EOMONTH(A187,0))</f>
      </c>
    </row>
    <row r="188">
      <c r="G188" s="13">
        <f>IF(A188="","",EOMONTH(A188,0))</f>
      </c>
    </row>
    <row r="189">
      <c r="G189" s="13">
        <f>IF(A189="","",EOMONTH(A189,0))</f>
      </c>
    </row>
    <row r="190">
      <c r="G190" s="13">
        <f>IF(A190="","",EOMONTH(A190,0))</f>
      </c>
    </row>
    <row r="191">
      <c r="G191" s="13">
        <f>IF(A191="","",EOMONTH(A191,0))</f>
      </c>
    </row>
    <row r="192">
      <c r="G192" s="13">
        <f>IF(A192="","",EOMONTH(A192,0))</f>
      </c>
    </row>
    <row r="193">
      <c r="G193" s="13">
        <f>IF(A193="","",EOMONTH(A193,0))</f>
      </c>
    </row>
    <row r="194">
      <c r="G194" s="13">
        <f>IF(A194="","",EOMONTH(A194,0))</f>
      </c>
    </row>
    <row r="195">
      <c r="G195" s="13">
        <f>IF(A195="","",EOMONTH(A195,0))</f>
      </c>
    </row>
    <row r="196">
      <c r="G196" s="13">
        <f>IF(A196="","",EOMONTH(A196,0))</f>
      </c>
    </row>
    <row r="197">
      <c r="G197" s="13">
        <f>IF(A197="","",EOMONTH(A197,0))</f>
      </c>
    </row>
    <row r="198">
      <c r="G198" s="13">
        <f>IF(A198="","",EOMONTH(A198,0))</f>
      </c>
    </row>
    <row r="199">
      <c r="G199" s="13">
        <f>IF(A199="","",EOMONTH(A199,0))</f>
      </c>
    </row>
    <row r="200">
      <c r="G200" s="13">
        <f>IF(A200="","",EOMONTH(A200,0))</f>
      </c>
    </row>
    <row r="201">
      <c r="G201" s="13">
        <f>IF(A201="","",EOMONTH(A201,0))</f>
      </c>
    </row>
    <row r="202">
      <c r="G202" s="13">
        <f>IF(A202="","",EOMONTH(A202,0))</f>
      </c>
    </row>
    <row r="203">
      <c r="G203" s="13">
        <f>IF(A203="","",EOMONTH(A203,0))</f>
      </c>
    </row>
    <row r="204">
      <c r="G204" s="13">
        <f>IF(A204="","",EOMONTH(A204,0))</f>
      </c>
    </row>
    <row r="205">
      <c r="G205" s="13">
        <f>IF(A205="","",EOMONTH(A205,0))</f>
      </c>
    </row>
    <row r="206">
      <c r="G206" s="13">
        <f>IF(A206="","",EOMONTH(A206,0))</f>
      </c>
    </row>
    <row r="207">
      <c r="G207" s="13">
        <f>IF(A207="","",EOMONTH(A207,0))</f>
      </c>
    </row>
    <row r="208">
      <c r="G208" s="13">
        <f>IF(A208="","",EOMONTH(A208,0))</f>
      </c>
    </row>
    <row r="209">
      <c r="G209" s="13">
        <f>IF(A209="","",EOMONTH(A209,0))</f>
      </c>
    </row>
    <row r="210">
      <c r="G210" s="13">
        <f>IF(A210="","",EOMONTH(A210,0))</f>
      </c>
    </row>
    <row r="211">
      <c r="G211" s="13">
        <f>IF(A211="","",EOMONTH(A211,0))</f>
      </c>
    </row>
    <row r="212">
      <c r="G212" s="13">
        <f>IF(A212="","",EOMONTH(A212,0))</f>
      </c>
    </row>
    <row r="213">
      <c r="G213" s="13">
        <f>IF(A213="","",EOMONTH(A213,0))</f>
      </c>
    </row>
    <row r="214">
      <c r="G214" s="13">
        <f>IF(A214="","",EOMONTH(A214,0))</f>
      </c>
    </row>
    <row r="215">
      <c r="G215" s="13">
        <f>IF(A215="","",EOMONTH(A215,0))</f>
      </c>
    </row>
    <row r="216">
      <c r="G216" s="13">
        <f>IF(A216="","",EOMONTH(A216,0))</f>
      </c>
    </row>
    <row r="217">
      <c r="G217" s="13">
        <f>IF(A217="","",EOMONTH(A217,0))</f>
      </c>
    </row>
    <row r="218">
      <c r="G218" s="13">
        <f>IF(A218="","",EOMONTH(A218,0))</f>
      </c>
    </row>
    <row r="219">
      <c r="G219" s="13">
        <f>IF(A219="","",EOMONTH(A219,0))</f>
      </c>
    </row>
    <row r="220">
      <c r="G220" s="13">
        <f>IF(A220="","",EOMONTH(A220,0))</f>
      </c>
    </row>
    <row r="221">
      <c r="G221" s="13">
        <f>IF(A221="","",EOMONTH(A221,0))</f>
      </c>
    </row>
    <row r="222">
      <c r="G222" s="13">
        <f>IF(A222="","",EOMONTH(A222,0))</f>
      </c>
    </row>
    <row r="223">
      <c r="G223" s="13">
        <f>IF(A223="","",EOMONTH(A223,0))</f>
      </c>
    </row>
    <row r="224">
      <c r="G224" s="13">
        <f>IF(A224="","",EOMONTH(A224,0))</f>
      </c>
    </row>
    <row r="225">
      <c r="G225" s="13">
        <f>IF(A225="","",EOMONTH(A225,0))</f>
      </c>
    </row>
    <row r="226">
      <c r="G226" s="13">
        <f>IF(A226="","",EOMONTH(A226,0))</f>
      </c>
    </row>
    <row r="227">
      <c r="G227" s="13">
        <f>IF(A227="","",EOMONTH(A227,0))</f>
      </c>
    </row>
    <row r="228">
      <c r="G228" s="13">
        <f>IF(A228="","",EOMONTH(A228,0))</f>
      </c>
    </row>
    <row r="229">
      <c r="G229" s="13">
        <f>IF(A229="","",EOMONTH(A229,0))</f>
      </c>
    </row>
    <row r="230">
      <c r="G230" s="13">
        <f>IF(A230="","",EOMONTH(A230,0))</f>
      </c>
    </row>
    <row r="231">
      <c r="G231" s="13">
        <f>IF(A231="","",EOMONTH(A231,0))</f>
      </c>
    </row>
    <row r="232">
      <c r="G232" s="13">
        <f>IF(A232="","",EOMONTH(A232,0))</f>
      </c>
    </row>
    <row r="233">
      <c r="G233" s="13">
        <f>IF(A233="","",EOMONTH(A233,0))</f>
      </c>
    </row>
    <row r="234">
      <c r="G234" s="13">
        <f>IF(A234="","",EOMONTH(A234,0))</f>
      </c>
    </row>
    <row r="235">
      <c r="G235" s="13">
        <f>IF(A235="","",EOMONTH(A235,0))</f>
      </c>
    </row>
    <row r="236">
      <c r="G236" s="13">
        <f>IF(A236="","",EOMONTH(A236,0))</f>
      </c>
    </row>
    <row r="237">
      <c r="G237" s="13">
        <f>IF(A237="","",EOMONTH(A237,0))</f>
      </c>
    </row>
    <row r="238">
      <c r="G238" s="13">
        <f>IF(A238="","",EOMONTH(A238,0))</f>
      </c>
    </row>
    <row r="239">
      <c r="G239" s="13">
        <f>IF(A239="","",EOMONTH(A239,0))</f>
      </c>
    </row>
    <row r="240">
      <c r="G240" s="13">
        <f>IF(A240="","",EOMONTH(A240,0))</f>
      </c>
    </row>
    <row r="241">
      <c r="G241" s="13">
        <f>IF(A241="","",EOMONTH(A241,0))</f>
      </c>
    </row>
    <row r="242">
      <c r="G242" s="13">
        <f>IF(A242="","",EOMONTH(A242,0))</f>
      </c>
    </row>
    <row r="243">
      <c r="G243" s="13">
        <f>IF(A243="","",EOMONTH(A243,0))</f>
      </c>
    </row>
    <row r="244">
      <c r="G244" s="13">
        <f>IF(A244="","",EOMONTH(A244,0))</f>
      </c>
    </row>
    <row r="245">
      <c r="G245" s="13">
        <f>IF(A245="","",EOMONTH(A245,0))</f>
      </c>
    </row>
    <row r="246">
      <c r="G246" s="13">
        <f>IF(A246="","",EOMONTH(A246,0))</f>
      </c>
    </row>
    <row r="247">
      <c r="G247" s="13">
        <f>IF(A247="","",EOMONTH(A247,0))</f>
      </c>
    </row>
    <row r="248">
      <c r="G248" s="13">
        <f>IF(A248="","",EOMONTH(A248,0))</f>
      </c>
    </row>
    <row r="249">
      <c r="G249" s="13">
        <f>IF(A249="","",EOMONTH(A249,0))</f>
      </c>
    </row>
    <row r="250">
      <c r="G250" s="13">
        <f>IF(A250="","",EOMONTH(A250,0))</f>
      </c>
    </row>
    <row r="251">
      <c r="G251" s="13">
        <f>IF(A251="","",EOMONTH(A251,0))</f>
      </c>
    </row>
    <row r="252">
      <c r="G252" s="13">
        <f>IF(A252="","",EOMONTH(A252,0))</f>
      </c>
    </row>
    <row r="253">
      <c r="G253" s="13">
        <f>IF(A253="","",EOMONTH(A253,0))</f>
      </c>
    </row>
    <row r="254">
      <c r="G254" s="13">
        <f>IF(A254="","",EOMONTH(A254,0))</f>
      </c>
    </row>
    <row r="255">
      <c r="G255" s="13">
        <f>IF(A255="","",EOMONTH(A255,0))</f>
      </c>
    </row>
    <row r="256">
      <c r="G256" s="13">
        <f>IF(A256="","",EOMONTH(A256,0))</f>
      </c>
    </row>
    <row r="257">
      <c r="G257" s="13">
        <f>IF(A257="","",EOMONTH(A257,0))</f>
      </c>
    </row>
    <row r="258">
      <c r="G258" s="13">
        <f>IF(A258="","",EOMONTH(A258,0))</f>
      </c>
    </row>
    <row r="259">
      <c r="G259" s="13">
        <f>IF(A259="","",EOMONTH(A259,0))</f>
      </c>
    </row>
    <row r="260">
      <c r="G260" s="13">
        <f>IF(A260="","",EOMONTH(A260,0))</f>
      </c>
    </row>
    <row r="261">
      <c r="G261" s="13">
        <f>IF(A261="","",EOMONTH(A261,0))</f>
      </c>
    </row>
    <row r="262">
      <c r="G262" s="13">
        <f>IF(A262="","",EOMONTH(A262,0))</f>
      </c>
    </row>
    <row r="263">
      <c r="G263" s="13">
        <f>IF(A263="","",EOMONTH(A263,0))</f>
      </c>
    </row>
    <row r="264">
      <c r="G264" s="13">
        <f>IF(A264="","",EOMONTH(A264,0))</f>
      </c>
    </row>
    <row r="265">
      <c r="G265" s="13">
        <f>IF(A265="","",EOMONTH(A265,0))</f>
      </c>
    </row>
    <row r="266">
      <c r="G266" s="13">
        <f>IF(A266="","",EOMONTH(A266,0))</f>
      </c>
    </row>
    <row r="267">
      <c r="G267" s="13">
        <f>IF(A267="","",EOMONTH(A267,0))</f>
      </c>
    </row>
    <row r="268">
      <c r="G268" s="13">
        <f>IF(A268="","",EOMONTH(A268,0))</f>
      </c>
    </row>
    <row r="269">
      <c r="G269" s="13">
        <f>IF(A269="","",EOMONTH(A269,0))</f>
      </c>
    </row>
    <row r="270">
      <c r="G270" s="13">
        <f>IF(A270="","",EOMONTH(A270,0))</f>
      </c>
    </row>
    <row r="271">
      <c r="G271" s="13">
        <f>IF(A271="","",EOMONTH(A271,0))</f>
      </c>
    </row>
    <row r="272">
      <c r="G272" s="13">
        <f>IF(A272="","",EOMONTH(A272,0))</f>
      </c>
    </row>
    <row r="273">
      <c r="G273" s="13">
        <f>IF(A273="","",EOMONTH(A273,0))</f>
      </c>
    </row>
    <row r="274">
      <c r="G274" s="13">
        <f>IF(A274="","",EOMONTH(A274,0))</f>
      </c>
    </row>
    <row r="275">
      <c r="G275" s="13">
        <f>IF(A275="","",EOMONTH(A275,0))</f>
      </c>
    </row>
    <row r="276">
      <c r="G276" s="13">
        <f>IF(A276="","",EOMONTH(A276,0))</f>
      </c>
    </row>
    <row r="277">
      <c r="G277" s="13">
        <f>IF(A277="","",EOMONTH(A277,0))</f>
      </c>
    </row>
    <row r="278">
      <c r="G278" s="13">
        <f>IF(A278="","",EOMONTH(A278,0))</f>
      </c>
    </row>
    <row r="279">
      <c r="G279" s="13">
        <f>IF(A279="","",EOMONTH(A279,0))</f>
      </c>
    </row>
    <row r="280">
      <c r="G280" s="13">
        <f>IF(A280="","",EOMONTH(A280,0))</f>
      </c>
    </row>
    <row r="281">
      <c r="G281" s="13">
        <f>IF(A281="","",EOMONTH(A281,0))</f>
      </c>
    </row>
    <row r="282">
      <c r="G282" s="13">
        <f>IF(A282="","",EOMONTH(A282,0))</f>
      </c>
    </row>
    <row r="283">
      <c r="G283" s="13">
        <f>IF(A283="","",EOMONTH(A283,0))</f>
      </c>
    </row>
    <row r="284">
      <c r="G284" s="13">
        <f>IF(A284="","",EOMONTH(A284,0))</f>
      </c>
    </row>
    <row r="285">
      <c r="G285" s="13">
        <f>IF(A285="","",EOMONTH(A285,0))</f>
      </c>
    </row>
    <row r="286">
      <c r="G286" s="13">
        <f>IF(A286="","",EOMONTH(A286,0))</f>
      </c>
    </row>
    <row r="287">
      <c r="G287" s="13">
        <f>IF(A287="","",EOMONTH(A287,0))</f>
      </c>
    </row>
    <row r="288">
      <c r="G288" s="13">
        <f>IF(A288="","",EOMONTH(A288,0))</f>
      </c>
    </row>
    <row r="289">
      <c r="G289" s="13">
        <f>IF(A289="","",EOMONTH(A289,0))</f>
      </c>
    </row>
    <row r="290">
      <c r="G290" s="13">
        <f>IF(A290="","",EOMONTH(A290,0))</f>
      </c>
    </row>
    <row r="291">
      <c r="G291" s="13">
        <f>IF(A291="","",EOMONTH(A291,0))</f>
      </c>
    </row>
    <row r="292">
      <c r="G292" s="13">
        <f>IF(A292="","",EOMONTH(A292,0))</f>
      </c>
    </row>
    <row r="293">
      <c r="G293" s="13">
        <f>IF(A293="","",EOMONTH(A293,0))</f>
      </c>
    </row>
    <row r="294">
      <c r="G294" s="13">
        <f>IF(A294="","",EOMONTH(A294,0))</f>
      </c>
    </row>
    <row r="295">
      <c r="G295" s="13">
        <f>IF(A295="","",EOMONTH(A295,0))</f>
      </c>
    </row>
    <row r="296">
      <c r="G296" s="13">
        <f>IF(A296="","",EOMONTH(A296,0))</f>
      </c>
    </row>
    <row r="297">
      <c r="G297" s="13">
        <f>IF(A297="","",EOMONTH(A297,0))</f>
      </c>
    </row>
    <row r="298">
      <c r="G298" s="13">
        <f>IF(A298="","",EOMONTH(A298,0))</f>
      </c>
    </row>
    <row r="299">
      <c r="G299" s="13">
        <f>IF(A299="","",EOMONTH(A299,0))</f>
      </c>
    </row>
    <row r="300">
      <c r="G300" s="13">
        <f>IF(A300="","",EOMONTH(A300,0))</f>
      </c>
    </row>
    <row r="301">
      <c r="G301" s="13">
        <f>IF(A301="","",EOMONTH(A301,0))</f>
      </c>
    </row>
    <row r="302">
      <c r="G302" s="13">
        <f>IF(A302="","",EOMONTH(A302,0))</f>
      </c>
    </row>
    <row r="303">
      <c r="G303" s="13">
        <f>IF(A303="","",EOMONTH(A303,0))</f>
      </c>
    </row>
    <row r="304">
      <c r="G304" s="13">
        <f>IF(A304="","",EOMONTH(A304,0))</f>
      </c>
    </row>
    <row r="305">
      <c r="G305" s="13">
        <f>IF(A305="","",EOMONTH(A305,0))</f>
      </c>
    </row>
    <row r="306">
      <c r="G306" s="13">
        <f>IF(A306="","",EOMONTH(A306,0))</f>
      </c>
    </row>
    <row r="307">
      <c r="G307" s="13">
        <f>IF(A307="","",EOMONTH(A307,0))</f>
      </c>
    </row>
    <row r="308">
      <c r="G308" s="13">
        <f>IF(A308="","",EOMONTH(A308,0))</f>
      </c>
    </row>
    <row r="309">
      <c r="G309" s="13">
        <f>IF(A309="","",EOMONTH(A309,0))</f>
      </c>
    </row>
    <row r="310">
      <c r="G310" s="13">
        <f>IF(A310="","",EOMONTH(A310,0))</f>
      </c>
    </row>
    <row r="311">
      <c r="G311" s="13">
        <f>IF(A311="","",EOMONTH(A311,0))</f>
      </c>
    </row>
    <row r="312">
      <c r="G312" s="13">
        <f>IF(A312="","",EOMONTH(A312,0))</f>
      </c>
    </row>
    <row r="313">
      <c r="G313" s="13">
        <f>IF(A313="","",EOMONTH(A313,0))</f>
      </c>
    </row>
    <row r="314">
      <c r="G314" s="13">
        <f>IF(A314="","",EOMONTH(A314,0))</f>
      </c>
    </row>
    <row r="315">
      <c r="G315" s="13">
        <f>IF(A315="","",EOMONTH(A315,0))</f>
      </c>
    </row>
    <row r="316">
      <c r="G316" s="13">
        <f>IF(A316="","",EOMONTH(A316,0))</f>
      </c>
    </row>
    <row r="317">
      <c r="G317" s="13">
        <f>IF(A317="","",EOMONTH(A317,0))</f>
      </c>
    </row>
    <row r="318">
      <c r="G318" s="13">
        <f>IF(A318="","",EOMONTH(A318,0))</f>
      </c>
    </row>
    <row r="319">
      <c r="G319" s="13">
        <f>IF(A319="","",EOMONTH(A319,0))</f>
      </c>
    </row>
    <row r="320">
      <c r="G320" s="13">
        <f>IF(A320="","",EOMONTH(A320,0))</f>
      </c>
    </row>
    <row r="321">
      <c r="G321" s="13">
        <f>IF(A321="","",EOMONTH(A321,0))</f>
      </c>
    </row>
    <row r="322">
      <c r="G322" s="13">
        <f>IF(A322="","",EOMONTH(A322,0))</f>
      </c>
    </row>
    <row r="323">
      <c r="G323" s="13">
        <f>IF(A323="","",EOMONTH(A323,0))</f>
      </c>
    </row>
    <row r="324">
      <c r="G324" s="13">
        <f>IF(A324="","",EOMONTH(A324,0))</f>
      </c>
    </row>
    <row r="325">
      <c r="G325" s="13">
        <f>IF(A325="","",EOMONTH(A325,0))</f>
      </c>
    </row>
    <row r="326">
      <c r="G326" s="13">
        <f>IF(A326="","",EOMONTH(A326,0))</f>
      </c>
    </row>
    <row r="327">
      <c r="G327" s="13">
        <f>IF(A327="","",EOMONTH(A327,0))</f>
      </c>
    </row>
    <row r="328">
      <c r="G328" s="13">
        <f>IF(A328="","",EOMONTH(A328,0))</f>
      </c>
    </row>
    <row r="329">
      <c r="G329" s="13">
        <f>IF(A329="","",EOMONTH(A329,0))</f>
      </c>
    </row>
    <row r="330">
      <c r="G330" s="13">
        <f>IF(A330="","",EOMONTH(A330,0))</f>
      </c>
    </row>
    <row r="331">
      <c r="G331" s="13">
        <f>IF(A331="","",EOMONTH(A331,0))</f>
      </c>
    </row>
    <row r="332">
      <c r="G332" s="13">
        <f>IF(A332="","",EOMONTH(A332,0))</f>
      </c>
    </row>
    <row r="333">
      <c r="G333" s="13">
        <f>IF(A333="","",EOMONTH(A333,0))</f>
      </c>
    </row>
    <row r="334">
      <c r="G334" s="13">
        <f>IF(A334="","",EOMONTH(A334,0))</f>
      </c>
    </row>
    <row r="335">
      <c r="G335" s="13">
        <f>IF(A335="","",EOMONTH(A335,0))</f>
      </c>
    </row>
    <row r="336">
      <c r="G336" s="13">
        <f>IF(A336="","",EOMONTH(A336,0))</f>
      </c>
    </row>
    <row r="337">
      <c r="G337" s="13">
        <f>IF(A337="","",EOMONTH(A337,0))</f>
      </c>
    </row>
    <row r="338">
      <c r="G338" s="13">
        <f>IF(A338="","",EOMONTH(A338,0))</f>
      </c>
    </row>
    <row r="339">
      <c r="G339" s="13">
        <f>IF(A339="","",EOMONTH(A339,0))</f>
      </c>
    </row>
    <row r="340">
      <c r="G340" s="13">
        <f>IF(A340="","",EOMONTH(A340,0))</f>
      </c>
    </row>
    <row r="341">
      <c r="G341" s="13">
        <f>IF(A341="","",EOMONTH(A341,0))</f>
      </c>
    </row>
    <row r="342">
      <c r="G342" s="13">
        <f>IF(A342="","",EOMONTH(A342,0))</f>
      </c>
    </row>
    <row r="343">
      <c r="G343" s="13">
        <f>IF(A343="","",EOMONTH(A343,0))</f>
      </c>
    </row>
    <row r="344">
      <c r="G344" s="13">
        <f>IF(A344="","",EOMONTH(A344,0))</f>
      </c>
    </row>
    <row r="345">
      <c r="G345" s="13">
        <f>IF(A345="","",EOMONTH(A345,0))</f>
      </c>
    </row>
    <row r="346">
      <c r="G346" s="13">
        <f>IF(A346="","",EOMONTH(A346,0))</f>
      </c>
    </row>
    <row r="347">
      <c r="G347" s="13">
        <f>IF(A347="","",EOMONTH(A347,0))</f>
      </c>
    </row>
    <row r="348">
      <c r="G348" s="13">
        <f>IF(A348="","",EOMONTH(A348,0))</f>
      </c>
    </row>
    <row r="349">
      <c r="G349" s="13">
        <f>IF(A349="","",EOMONTH(A349,0))</f>
      </c>
    </row>
    <row r="350">
      <c r="G350" s="13">
        <f>IF(A350="","",EOMONTH(A350,0))</f>
      </c>
    </row>
    <row r="351">
      <c r="G351" s="13">
        <f>IF(A351="","",EOMONTH(A351,0))</f>
      </c>
    </row>
    <row r="352">
      <c r="G352" s="13">
        <f>IF(A352="","",EOMONTH(A352,0))</f>
      </c>
    </row>
    <row r="353">
      <c r="G353" s="13">
        <f>IF(A353="","",EOMONTH(A353,0))</f>
      </c>
    </row>
    <row r="354">
      <c r="G354" s="13">
        <f>IF(A354="","",EOMONTH(A354,0))</f>
      </c>
    </row>
    <row r="355">
      <c r="G355" s="13">
        <f>IF(A355="","",EOMONTH(A355,0))</f>
      </c>
    </row>
    <row r="356">
      <c r="G356" s="13">
        <f>IF(A356="","",EOMONTH(A356,0))</f>
      </c>
    </row>
    <row r="357">
      <c r="G357" s="13">
        <f>IF(A357="","",EOMONTH(A357,0))</f>
      </c>
    </row>
    <row r="358">
      <c r="G358" s="13">
        <f>IF(A358="","",EOMONTH(A358,0))</f>
      </c>
    </row>
    <row r="359">
      <c r="G359" s="13">
        <f>IF(A359="","",EOMONTH(A359,0))</f>
      </c>
    </row>
    <row r="360">
      <c r="G360" s="13">
        <f>IF(A360="","",EOMONTH(A360,0))</f>
      </c>
    </row>
    <row r="361">
      <c r="G361" s="13">
        <f>IF(A361="","",EOMONTH(A361,0))</f>
      </c>
    </row>
    <row r="362">
      <c r="G362" s="13">
        <f>IF(A362="","",EOMONTH(A362,0))</f>
      </c>
    </row>
    <row r="363">
      <c r="G363" s="13">
        <f>IF(A363="","",EOMONTH(A363,0))</f>
      </c>
    </row>
    <row r="364">
      <c r="G364" s="13">
        <f>IF(A364="","",EOMONTH(A364,0))</f>
      </c>
    </row>
    <row r="365">
      <c r="G365" s="13">
        <f>IF(A365="","",EOMONTH(A365,0))</f>
      </c>
    </row>
    <row r="366">
      <c r="G366" s="13">
        <f>IF(A366="","",EOMONTH(A366,0))</f>
      </c>
    </row>
    <row r="367">
      <c r="G367" s="13">
        <f>IF(A367="","",EOMONTH(A367,0))</f>
      </c>
    </row>
    <row r="368">
      <c r="G368" s="13">
        <f>IF(A368="","",EOMONTH(A368,0))</f>
      </c>
    </row>
    <row r="369">
      <c r="G369" s="13">
        <f>IF(A369="","",EOMONTH(A369,0))</f>
      </c>
    </row>
    <row r="370">
      <c r="G370" s="13">
        <f>IF(A370="","",EOMONTH(A370,0))</f>
      </c>
    </row>
    <row r="371">
      <c r="G371" s="13">
        <f>IF(A371="","",EOMONTH(A371,0))</f>
      </c>
    </row>
    <row r="372">
      <c r="G372" s="13">
        <f>IF(A372="","",EOMONTH(A372,0))</f>
      </c>
    </row>
    <row r="373">
      <c r="G373" s="13">
        <f>IF(A373="","",EOMONTH(A373,0))</f>
      </c>
    </row>
    <row r="374">
      <c r="G374" s="13">
        <f>IF(A374="","",EOMONTH(A374,0))</f>
      </c>
    </row>
    <row r="375">
      <c r="G375" s="13">
        <f>IF(A375="","",EOMONTH(A375,0))</f>
      </c>
    </row>
    <row r="376">
      <c r="G376" s="13">
        <f>IF(A376="","",EOMONTH(A376,0))</f>
      </c>
    </row>
    <row r="377">
      <c r="G377" s="13">
        <f>IF(A377="","",EOMONTH(A377,0))</f>
      </c>
    </row>
    <row r="378">
      <c r="G378" s="13">
        <f>IF(A378="","",EOMONTH(A378,0))</f>
      </c>
    </row>
    <row r="379">
      <c r="G379" s="13">
        <f>IF(A379="","",EOMONTH(A379,0))</f>
      </c>
    </row>
    <row r="380">
      <c r="G380" s="13">
        <f>IF(A380="","",EOMONTH(A380,0))</f>
      </c>
    </row>
    <row r="381">
      <c r="G381" s="13">
        <f>IF(A381="","",EOMONTH(A381,0))</f>
      </c>
    </row>
    <row r="382">
      <c r="G382" s="13">
        <f>IF(A382="","",EOMONTH(A382,0))</f>
      </c>
    </row>
    <row r="383">
      <c r="G383" s="13">
        <f>IF(A383="","",EOMONTH(A383,0))</f>
      </c>
    </row>
    <row r="384">
      <c r="G384" s="13">
        <f>IF(A384="","",EOMONTH(A384,0))</f>
      </c>
    </row>
    <row r="385">
      <c r="G385" s="13">
        <f>IF(A385="","",EOMONTH(A385,0))</f>
      </c>
    </row>
    <row r="386">
      <c r="G386" s="13">
        <f>IF(A386="","",EOMONTH(A386,0))</f>
      </c>
    </row>
    <row r="387">
      <c r="G387" s="13">
        <f>IF(A387="","",EOMONTH(A387,0))</f>
      </c>
    </row>
    <row r="388">
      <c r="G388" s="13">
        <f>IF(A388="","",EOMONTH(A388,0))</f>
      </c>
    </row>
    <row r="389">
      <c r="G389" s="13">
        <f>IF(A389="","",EOMONTH(A389,0))</f>
      </c>
    </row>
    <row r="390">
      <c r="G390" s="13">
        <f>IF(A390="","",EOMONTH(A390,0))</f>
      </c>
    </row>
    <row r="391">
      <c r="G391" s="13">
        <f>IF(A391="","",EOMONTH(A391,0))</f>
      </c>
    </row>
    <row r="392">
      <c r="G392" s="13">
        <f>IF(A392="","",EOMONTH(A392,0))</f>
      </c>
    </row>
    <row r="393">
      <c r="G393" s="13">
        <f>IF(A393="","",EOMONTH(A393,0))</f>
      </c>
    </row>
    <row r="394">
      <c r="G394" s="13">
        <f>IF(A394="","",EOMONTH(A394,0))</f>
      </c>
    </row>
    <row r="395">
      <c r="G395" s="13">
        <f>IF(A395="","",EOMONTH(A395,0))</f>
      </c>
    </row>
    <row r="396">
      <c r="G396" s="13">
        <f>IF(A396="","",EOMONTH(A396,0))</f>
      </c>
    </row>
    <row r="397">
      <c r="G397" s="13">
        <f>IF(A397="","",EOMONTH(A397,0))</f>
      </c>
    </row>
    <row r="398">
      <c r="G398" s="13">
        <f>IF(A398="","",EOMONTH(A398,0))</f>
      </c>
    </row>
    <row r="399">
      <c r="G399" s="13">
        <f>IF(A399="","",EOMONTH(A399,0))</f>
      </c>
    </row>
    <row r="400">
      <c r="G400" s="13">
        <f>IF(A400="","",EOMONTH(A400,0))</f>
      </c>
    </row>
    <row r="401">
      <c r="G401" s="13">
        <f>IF(A401="","",EOMONTH(A401,0))</f>
      </c>
    </row>
    <row r="402">
      <c r="G402" s="13">
        <f>IF(A402="","",EOMONTH(A402,0))</f>
      </c>
    </row>
    <row r="403">
      <c r="G403" s="13">
        <f>IF(A403="","",EOMONTH(A403,0))</f>
      </c>
    </row>
    <row r="404">
      <c r="G404" s="13">
        <f>IF(A404="","",EOMONTH(A404,0))</f>
      </c>
    </row>
    <row r="405">
      <c r="G405" s="13">
        <f>IF(A405="","",EOMONTH(A405,0))</f>
      </c>
    </row>
    <row r="406">
      <c r="G406" s="13">
        <f>IF(A406="","",EOMONTH(A406,0))</f>
      </c>
    </row>
    <row r="407">
      <c r="G407" s="13">
        <f>IF(A407="","",EOMONTH(A407,0))</f>
      </c>
    </row>
    <row r="408">
      <c r="G408" s="13">
        <f>IF(A408="","",EOMONTH(A408,0))</f>
      </c>
    </row>
    <row r="409">
      <c r="G409" s="13">
        <f>IF(A409="","",EOMONTH(A409,0))</f>
      </c>
    </row>
    <row r="410">
      <c r="G410" s="13">
        <f>IF(A410="","",EOMONTH(A410,0))</f>
      </c>
    </row>
    <row r="411">
      <c r="G411" s="13">
        <f>IF(A411="","",EOMONTH(A411,0))</f>
      </c>
    </row>
    <row r="412">
      <c r="G412" s="13">
        <f>IF(A412="","",EOMONTH(A412,0))</f>
      </c>
    </row>
    <row r="413">
      <c r="G413" s="13">
        <f>IF(A413="","",EOMONTH(A413,0))</f>
      </c>
    </row>
    <row r="414">
      <c r="G414" s="13">
        <f>IF(A414="","",EOMONTH(A414,0))</f>
      </c>
    </row>
    <row r="415">
      <c r="G415" s="13">
        <f>IF(A415="","",EOMONTH(A415,0))</f>
      </c>
    </row>
    <row r="416">
      <c r="G416" s="13">
        <f>IF(A416="","",EOMONTH(A416,0))</f>
      </c>
    </row>
    <row r="417">
      <c r="G417" s="13">
        <f>IF(A417="","",EOMONTH(A417,0))</f>
      </c>
    </row>
    <row r="418">
      <c r="G418" s="13">
        <f>IF(A418="","",EOMONTH(A418,0))</f>
      </c>
    </row>
    <row r="419">
      <c r="G419" s="13">
        <f>IF(A419="","",EOMONTH(A419,0))</f>
      </c>
    </row>
    <row r="420">
      <c r="G420" s="13">
        <f>IF(A420="","",EOMONTH(A420,0))</f>
      </c>
    </row>
    <row r="421">
      <c r="G421" s="13">
        <f>IF(A421="","",EOMONTH(A421,0))</f>
      </c>
    </row>
    <row r="422">
      <c r="G422" s="13">
        <f>IF(A422="","",EOMONTH(A422,0))</f>
      </c>
    </row>
    <row r="423">
      <c r="G423" s="13">
        <f>IF(A423="","",EOMONTH(A423,0))</f>
      </c>
    </row>
    <row r="424">
      <c r="G424" s="13">
        <f>IF(A424="","",EOMONTH(A424,0))</f>
      </c>
    </row>
    <row r="425">
      <c r="G425" s="13">
        <f>IF(A425="","",EOMONTH(A425,0))</f>
      </c>
    </row>
    <row r="426">
      <c r="G426" s="13">
        <f>IF(A426="","",EOMONTH(A426,0))</f>
      </c>
    </row>
    <row r="427">
      <c r="G427" s="13">
        <f>IF(A427="","",EOMONTH(A427,0))</f>
      </c>
    </row>
    <row r="428">
      <c r="G428" s="13">
        <f>IF(A428="","",EOMONTH(A428,0))</f>
      </c>
    </row>
    <row r="429">
      <c r="G429" s="13">
        <f>IF(A429="","",EOMONTH(A429,0))</f>
      </c>
    </row>
    <row r="430">
      <c r="G430" s="13">
        <f>IF(A430="","",EOMONTH(A430,0))</f>
      </c>
    </row>
    <row r="431">
      <c r="G431" s="13">
        <f>IF(A431="","",EOMONTH(A431,0))</f>
      </c>
    </row>
    <row r="432">
      <c r="G432" s="13">
        <f>IF(A432="","",EOMONTH(A432,0))</f>
      </c>
    </row>
    <row r="433">
      <c r="G433" s="13">
        <f>IF(A433="","",EOMONTH(A433,0))</f>
      </c>
    </row>
    <row r="434">
      <c r="G434" s="13">
        <f>IF(A434="","",EOMONTH(A434,0))</f>
      </c>
    </row>
    <row r="435">
      <c r="G435" s="13">
        <f>IF(A435="","",EOMONTH(A435,0))</f>
      </c>
    </row>
    <row r="436">
      <c r="G436" s="13">
        <f>IF(A436="","",EOMONTH(A436,0))</f>
      </c>
    </row>
    <row r="437">
      <c r="G437" s="13">
        <f>IF(A437="","",EOMONTH(A437,0))</f>
      </c>
    </row>
    <row r="438">
      <c r="G438" s="13">
        <f>IF(A438="","",EOMONTH(A438,0))</f>
      </c>
    </row>
    <row r="439">
      <c r="G439" s="13">
        <f>IF(A439="","",EOMONTH(A439,0))</f>
      </c>
    </row>
    <row r="440">
      <c r="G440" s="13">
        <f>IF(A440="","",EOMONTH(A440,0))</f>
      </c>
    </row>
    <row r="441">
      <c r="G441" s="13">
        <f>IF(A441="","",EOMONTH(A441,0))</f>
      </c>
    </row>
    <row r="442">
      <c r="G442" s="13">
        <f>IF(A442="","",EOMONTH(A442,0))</f>
      </c>
    </row>
    <row r="443">
      <c r="G443" s="13">
        <f>IF(A443="","",EOMONTH(A443,0))</f>
      </c>
    </row>
    <row r="444">
      <c r="G444" s="13">
        <f>IF(A444="","",EOMONTH(A444,0))</f>
      </c>
    </row>
    <row r="445">
      <c r="G445" s="13">
        <f>IF(A445="","",EOMONTH(A445,0))</f>
      </c>
    </row>
    <row r="446">
      <c r="G446" s="13">
        <f>IF(A446="","",EOMONTH(A446,0))</f>
      </c>
    </row>
    <row r="447">
      <c r="G447" s="13">
        <f>IF(A447="","",EOMONTH(A447,0))</f>
      </c>
    </row>
    <row r="448">
      <c r="G448" s="13">
        <f>IF(A448="","",EOMONTH(A448,0))</f>
      </c>
    </row>
    <row r="449">
      <c r="G449" s="13">
        <f>IF(A449="","",EOMONTH(A449,0))</f>
      </c>
    </row>
    <row r="450">
      <c r="G450" s="13">
        <f>IF(A450="","",EOMONTH(A450,0))</f>
      </c>
    </row>
    <row r="451">
      <c r="G451" s="13">
        <f>IF(A451="","",EOMONTH(A451,0))</f>
      </c>
    </row>
    <row r="452">
      <c r="G452" s="13">
        <f>IF(A452="","",EOMONTH(A452,0))</f>
      </c>
    </row>
    <row r="453">
      <c r="G453" s="13">
        <f>IF(A453="","",EOMONTH(A453,0))</f>
      </c>
    </row>
    <row r="454">
      <c r="G454" s="13">
        <f>IF(A454="","",EOMONTH(A454,0))</f>
      </c>
    </row>
    <row r="455">
      <c r="G455" s="13">
        <f>IF(A455="","",EOMONTH(A455,0))</f>
      </c>
    </row>
    <row r="456">
      <c r="G456" s="13">
        <f>IF(A456="","",EOMONTH(A456,0))</f>
      </c>
    </row>
    <row r="457">
      <c r="G457" s="13">
        <f>IF(A457="","",EOMONTH(A457,0))</f>
      </c>
    </row>
    <row r="458">
      <c r="G458" s="13">
        <f>IF(A458="","",EOMONTH(A458,0))</f>
      </c>
    </row>
    <row r="459">
      <c r="G459" s="13">
        <f>IF(A459="","",EOMONTH(A459,0))</f>
      </c>
    </row>
    <row r="460">
      <c r="G460" s="13">
        <f>IF(A460="","",EOMONTH(A460,0))</f>
      </c>
    </row>
    <row r="461">
      <c r="G461" s="13">
        <f>IF(A461="","",EOMONTH(A461,0))</f>
      </c>
    </row>
    <row r="462">
      <c r="G462" s="13">
        <f>IF(A462="","",EOMONTH(A462,0))</f>
      </c>
    </row>
    <row r="463">
      <c r="G463" s="13">
        <f>IF(A463="","",EOMONTH(A463,0))</f>
      </c>
    </row>
    <row r="464">
      <c r="G464" s="13">
        <f>IF(A464="","",EOMONTH(A464,0))</f>
      </c>
    </row>
    <row r="465">
      <c r="G465" s="13">
        <f>IF(A465="","",EOMONTH(A465,0))</f>
      </c>
    </row>
    <row r="466">
      <c r="G466" s="13">
        <f>IF(A466="","",EOMONTH(A466,0))</f>
      </c>
    </row>
    <row r="467">
      <c r="G467" s="13">
        <f>IF(A467="","",EOMONTH(A467,0))</f>
      </c>
    </row>
    <row r="468">
      <c r="G468" s="13">
        <f>IF(A468="","",EOMONTH(A468,0))</f>
      </c>
    </row>
    <row r="469">
      <c r="G469" s="13">
        <f>IF(A469="","",EOMONTH(A469,0))</f>
      </c>
    </row>
    <row r="470">
      <c r="G470" s="13">
        <f>IF(A470="","",EOMONTH(A470,0))</f>
      </c>
    </row>
    <row r="471">
      <c r="G471" s="13">
        <f>IF(A471="","",EOMONTH(A471,0))</f>
      </c>
    </row>
    <row r="472">
      <c r="G472" s="13">
        <f>IF(A472="","",EOMONTH(A472,0))</f>
      </c>
    </row>
    <row r="473">
      <c r="G473" s="13">
        <f>IF(A473="","",EOMONTH(A473,0))</f>
      </c>
    </row>
    <row r="474">
      <c r="G474" s="13">
        <f>IF(A474="","",EOMONTH(A474,0))</f>
      </c>
    </row>
    <row r="475">
      <c r="G475" s="13">
        <f>IF(A475="","",EOMONTH(A475,0))</f>
      </c>
    </row>
    <row r="476">
      <c r="G476" s="13">
        <f>IF(A476="","",EOMONTH(A476,0))</f>
      </c>
    </row>
    <row r="477">
      <c r="G477" s="13">
        <f>IF(A477="","",EOMONTH(A477,0))</f>
      </c>
    </row>
    <row r="478">
      <c r="G478" s="13">
        <f>IF(A478="","",EOMONTH(A478,0))</f>
      </c>
    </row>
    <row r="479">
      <c r="G479" s="13">
        <f>IF(A479="","",EOMONTH(A479,0))</f>
      </c>
    </row>
    <row r="480">
      <c r="G480" s="13">
        <f>IF(A480="","",EOMONTH(A480,0))</f>
      </c>
    </row>
    <row r="481">
      <c r="G481" s="13">
        <f>IF(A481="","",EOMONTH(A481,0))</f>
      </c>
    </row>
    <row r="482">
      <c r="G482" s="13">
        <f>IF(A482="","",EOMONTH(A482,0))</f>
      </c>
    </row>
    <row r="483">
      <c r="G483" s="13">
        <f>IF(A483="","",EOMONTH(A483,0))</f>
      </c>
    </row>
    <row r="484">
      <c r="G484" s="13">
        <f>IF(A484="","",EOMONTH(A484,0))</f>
      </c>
    </row>
    <row r="485">
      <c r="G485" s="13">
        <f>IF(A485="","",EOMONTH(A485,0))</f>
      </c>
    </row>
    <row r="486">
      <c r="G486" s="13">
        <f>IF(A486="","",EOMONTH(A486,0))</f>
      </c>
    </row>
    <row r="487">
      <c r="G487" s="13">
        <f>IF(A487="","",EOMONTH(A487,0))</f>
      </c>
    </row>
    <row r="488">
      <c r="G488" s="13">
        <f>IF(A488="","",EOMONTH(A488,0))</f>
      </c>
    </row>
    <row r="489">
      <c r="G489" s="13">
        <f>IF(A489="","",EOMONTH(A489,0))</f>
      </c>
    </row>
    <row r="490">
      <c r="G490" s="13">
        <f>IF(A490="","",EOMONTH(A490,0))</f>
      </c>
    </row>
    <row r="491">
      <c r="G491" s="13">
        <f>IF(A491="","",EOMONTH(A491,0))</f>
      </c>
    </row>
    <row r="492">
      <c r="G492" s="13">
        <f>IF(A492="","",EOMONTH(A492,0))</f>
      </c>
    </row>
    <row r="493">
      <c r="G493" s="13">
        <f>IF(A493="","",EOMONTH(A493,0))</f>
      </c>
    </row>
    <row r="494">
      <c r="G494" s="13">
        <f>IF(A494="","",EOMONTH(A494,0))</f>
      </c>
    </row>
    <row r="495">
      <c r="G495" s="13">
        <f>IF(A495="","",EOMONTH(A495,0))</f>
      </c>
    </row>
    <row r="496">
      <c r="G496" s="13">
        <f>IF(A496="","",EOMONTH(A496,0))</f>
      </c>
    </row>
    <row r="497">
      <c r="G497" s="13">
        <f>IF(A497="","",EOMONTH(A497,0))</f>
      </c>
    </row>
    <row r="498">
      <c r="G498" s="13">
        <f>IF(A498="","",EOMONTH(A498,0))</f>
      </c>
    </row>
    <row r="499">
      <c r="G499" s="13">
        <f>IF(A499="","",EOMONTH(A499,0))</f>
      </c>
    </row>
    <row r="500">
      <c r="G500" s="13">
        <f>IF(A500="","",EOMONTH(A500,0))</f>
      </c>
    </row>
    <row r="501">
      <c r="G501" s="13">
        <f>IF(A501="","",EOMONTH(A501,0))</f>
      </c>
    </row>
    <row r="502">
      <c r="G502" s="13">
        <f>IF(A502="","",EOMONTH(A502,0))</f>
      </c>
    </row>
    <row r="503">
      <c r="G503" s="13">
        <f>IF(A503="","",EOMONTH(A503,0))</f>
      </c>
    </row>
    <row r="504">
      <c r="G504" s="13">
        <f>IF(A504="","",EOMONTH(A504,0))</f>
      </c>
    </row>
    <row r="505">
      <c r="G505" s="13">
        <f>IF(A505="","",EOMONTH(A505,0))</f>
      </c>
    </row>
    <row r="506">
      <c r="G506" s="13">
        <f>IF(A506="","",EOMONTH(A506,0))</f>
      </c>
    </row>
    <row r="507">
      <c r="G507" s="13">
        <f>IF(A507="","",EOMONTH(A507,0))</f>
      </c>
    </row>
    <row r="508">
      <c r="G508" s="13">
        <f>IF(A508="","",EOMONTH(A508,0))</f>
      </c>
    </row>
    <row r="509">
      <c r="G509" s="13">
        <f>IF(A509="","",EOMONTH(A509,0))</f>
      </c>
    </row>
    <row r="510">
      <c r="G510" s="13">
        <f>IF(A510="","",EOMONTH(A510,0))</f>
      </c>
    </row>
    <row r="511">
      <c r="G511" s="13">
        <f>IF(A511="","",EOMONTH(A511,0))</f>
      </c>
    </row>
    <row r="512">
      <c r="G512" s="13">
        <f>IF(A512="","",EOMONTH(A512,0))</f>
      </c>
    </row>
    <row r="513">
      <c r="G513" s="13">
        <f>IF(A513="","",EOMONTH(A513,0))</f>
      </c>
    </row>
    <row r="514">
      <c r="G514" s="13">
        <f>IF(A514="","",EOMONTH(A514,0))</f>
      </c>
    </row>
    <row r="515">
      <c r="G515" s="13">
        <f>IF(A515="","",EOMONTH(A515,0))</f>
      </c>
    </row>
    <row r="516">
      <c r="G516" s="13">
        <f>IF(A516="","",EOMONTH(A516,0))</f>
      </c>
    </row>
    <row r="517">
      <c r="G517" s="13">
        <f>IF(A517="","",EOMONTH(A517,0))</f>
      </c>
    </row>
    <row r="518">
      <c r="G518" s="13">
        <f>IF(A518="","",EOMONTH(A518,0))</f>
      </c>
    </row>
    <row r="519">
      <c r="G519" s="13">
        <f>IF(A519="","",EOMONTH(A519,0))</f>
      </c>
    </row>
    <row r="520">
      <c r="G520" s="13">
        <f>IF(A520="","",EOMONTH(A520,0))</f>
      </c>
    </row>
    <row r="521">
      <c r="G521" s="13">
        <f>IF(A521="","",EOMONTH(A521,0))</f>
      </c>
    </row>
    <row r="522">
      <c r="G522" s="13">
        <f>IF(A522="","",EOMONTH(A522,0))</f>
      </c>
    </row>
    <row r="523">
      <c r="G523" s="13">
        <f>IF(A523="","",EOMONTH(A523,0))</f>
      </c>
    </row>
    <row r="524">
      <c r="G524" s="13">
        <f>IF(A524="","",EOMONTH(A524,0))</f>
      </c>
    </row>
    <row r="525">
      <c r="G525" s="13">
        <f>IF(A525="","",EOMONTH(A525,0))</f>
      </c>
    </row>
    <row r="526">
      <c r="G526" s="13">
        <f>IF(A526="","",EOMONTH(A526,0))</f>
      </c>
    </row>
    <row r="527">
      <c r="G527" s="13">
        <f>IF(A527="","",EOMONTH(A527,0))</f>
      </c>
    </row>
    <row r="528">
      <c r="G528" s="13">
        <f>IF(A528="","",EOMONTH(A528,0))</f>
      </c>
    </row>
    <row r="529">
      <c r="G529" s="13">
        <f>IF(A529="","",EOMONTH(A529,0))</f>
      </c>
    </row>
    <row r="530">
      <c r="G530" s="13">
        <f>IF(A530="","",EOMONTH(A530,0))</f>
      </c>
    </row>
    <row r="531">
      <c r="G531" s="13">
        <f>IF(A531="","",EOMONTH(A531,0))</f>
      </c>
    </row>
    <row r="532">
      <c r="G532" s="13">
        <f>IF(A532="","",EOMONTH(A532,0))</f>
      </c>
    </row>
    <row r="533">
      <c r="G533" s="13">
        <f>IF(A533="","",EOMONTH(A533,0))</f>
      </c>
    </row>
    <row r="534">
      <c r="G534" s="13">
        <f>IF(A534="","",EOMONTH(A534,0))</f>
      </c>
    </row>
    <row r="535">
      <c r="G535" s="13">
        <f>IF(A535="","",EOMONTH(A535,0))</f>
      </c>
    </row>
    <row r="536">
      <c r="G536" s="13">
        <f>IF(A536="","",EOMONTH(A536,0))</f>
      </c>
    </row>
    <row r="537">
      <c r="G537" s="13">
        <f>IF(A537="","",EOMONTH(A537,0))</f>
      </c>
    </row>
    <row r="538">
      <c r="G538" s="13">
        <f>IF(A538="","",EOMONTH(A538,0))</f>
      </c>
    </row>
    <row r="539">
      <c r="G539" s="13">
        <f>IF(A539="","",EOMONTH(A539,0))</f>
      </c>
    </row>
    <row r="540">
      <c r="G540" s="13">
        <f>IF(A540="","",EOMONTH(A540,0))</f>
      </c>
    </row>
    <row r="541">
      <c r="G541" s="13">
        <f>IF(A541="","",EOMONTH(A541,0))</f>
      </c>
    </row>
    <row r="542">
      <c r="G542" s="13">
        <f>IF(A542="","",EOMONTH(A542,0))</f>
      </c>
    </row>
    <row r="543">
      <c r="G543" s="13">
        <f>IF(A543="","",EOMONTH(A543,0))</f>
      </c>
    </row>
    <row r="544">
      <c r="G544" s="13">
        <f>IF(A544="","",EOMONTH(A544,0))</f>
      </c>
    </row>
    <row r="545">
      <c r="G545" s="13">
        <f>IF(A545="","",EOMONTH(A545,0))</f>
      </c>
    </row>
    <row r="546">
      <c r="G546" s="13">
        <f>IF(A546="","",EOMONTH(A546,0))</f>
      </c>
    </row>
    <row r="547">
      <c r="G547" s="13">
        <f>IF(A547="","",EOMONTH(A547,0))</f>
      </c>
    </row>
    <row r="548">
      <c r="G548" s="13">
        <f>IF(A548="","",EOMONTH(A548,0))</f>
      </c>
    </row>
    <row r="549">
      <c r="G549" s="13">
        <f>IF(A549="","",EOMONTH(A549,0))</f>
      </c>
    </row>
    <row r="550">
      <c r="G550" s="13">
        <f>IF(A550="","",EOMONTH(A550,0))</f>
      </c>
    </row>
    <row r="551">
      <c r="G551" s="13">
        <f>IF(A551="","",EOMONTH(A551,0))</f>
      </c>
    </row>
    <row r="552">
      <c r="G552" s="13">
        <f>IF(A552="","",EOMONTH(A552,0))</f>
      </c>
    </row>
    <row r="553">
      <c r="G553" s="13">
        <f>IF(A553="","",EOMONTH(A553,0))</f>
      </c>
    </row>
    <row r="554">
      <c r="G554" s="13">
        <f>IF(A554="","",EOMONTH(A554,0))</f>
      </c>
    </row>
    <row r="555">
      <c r="G555" s="13">
        <f>IF(A555="","",EOMONTH(A555,0))</f>
      </c>
    </row>
    <row r="556">
      <c r="G556" s="13">
        <f>IF(A556="","",EOMONTH(A556,0))</f>
      </c>
    </row>
    <row r="557">
      <c r="G557" s="13">
        <f>IF(A557="","",EOMONTH(A557,0))</f>
      </c>
    </row>
    <row r="558">
      <c r="G558" s="13">
        <f>IF(A558="","",EOMONTH(A558,0))</f>
      </c>
    </row>
    <row r="559">
      <c r="G559" s="13">
        <f>IF(A559="","",EOMONTH(A559,0))</f>
      </c>
    </row>
    <row r="560">
      <c r="G560" s="13">
        <f>IF(A560="","",EOMONTH(A560,0))</f>
      </c>
    </row>
    <row r="561">
      <c r="G561" s="13">
        <f>IF(A561="","",EOMONTH(A561,0))</f>
      </c>
    </row>
    <row r="562">
      <c r="G562" s="13">
        <f>IF(A562="","",EOMONTH(A562,0))</f>
      </c>
    </row>
    <row r="563">
      <c r="G563" s="13">
        <f>IF(A563="","",EOMONTH(A563,0))</f>
      </c>
    </row>
    <row r="564">
      <c r="G564" s="13">
        <f>IF(A564="","",EOMONTH(A564,0))</f>
      </c>
    </row>
    <row r="565">
      <c r="G565" s="13">
        <f>IF(A565="","",EOMONTH(A565,0))</f>
      </c>
    </row>
    <row r="566">
      <c r="G566" s="13">
        <f>IF(A566="","",EOMONTH(A566,0))</f>
      </c>
    </row>
    <row r="567">
      <c r="G567" s="13">
        <f>IF(A567="","",EOMONTH(A567,0))</f>
      </c>
    </row>
    <row r="568">
      <c r="G568" s="13">
        <f>IF(A568="","",EOMONTH(A568,0))</f>
      </c>
    </row>
    <row r="569">
      <c r="G569" s="13">
        <f>IF(A569="","",EOMONTH(A569,0))</f>
      </c>
    </row>
    <row r="570">
      <c r="G570" s="13">
        <f>IF(A570="","",EOMONTH(A570,0))</f>
      </c>
    </row>
    <row r="571">
      <c r="G571" s="13">
        <f>IF(A571="","",EOMONTH(A571,0))</f>
      </c>
    </row>
    <row r="572">
      <c r="G572" s="13">
        <f>IF(A572="","",EOMONTH(A572,0))</f>
      </c>
    </row>
    <row r="573">
      <c r="G573" s="13">
        <f>IF(A573="","",EOMONTH(A573,0))</f>
      </c>
    </row>
    <row r="574">
      <c r="G574" s="13">
        <f>IF(A574="","",EOMONTH(A574,0))</f>
      </c>
    </row>
    <row r="575">
      <c r="G575" s="13">
        <f>IF(A575="","",EOMONTH(A575,0))</f>
      </c>
    </row>
    <row r="576">
      <c r="G576" s="13">
        <f>IF(A576="","",EOMONTH(A576,0))</f>
      </c>
    </row>
    <row r="577">
      <c r="G577" s="13">
        <f>IF(A577="","",EOMONTH(A577,0))</f>
      </c>
    </row>
    <row r="578">
      <c r="G578" s="13">
        <f>IF(A578="","",EOMONTH(A578,0))</f>
      </c>
    </row>
    <row r="579">
      <c r="G579" s="13">
        <f>IF(A579="","",EOMONTH(A579,0))</f>
      </c>
    </row>
    <row r="580">
      <c r="G580" s="13">
        <f>IF(A580="","",EOMONTH(A580,0))</f>
      </c>
    </row>
    <row r="581">
      <c r="G581" s="13">
        <f>IF(A581="","",EOMONTH(A581,0))</f>
      </c>
    </row>
    <row r="582">
      <c r="G582" s="13">
        <f>IF(A582="","",EOMONTH(A582,0))</f>
      </c>
    </row>
    <row r="583">
      <c r="G583" s="13">
        <f>IF(A583="","",EOMONTH(A583,0))</f>
      </c>
    </row>
    <row r="584">
      <c r="G584" s="13">
        <f>IF(A584="","",EOMONTH(A584,0))</f>
      </c>
    </row>
    <row r="585">
      <c r="G585" s="13">
        <f>IF(A585="","",EOMONTH(A585,0))</f>
      </c>
    </row>
    <row r="586">
      <c r="G586" s="13">
        <f>IF(A586="","",EOMONTH(A586,0))</f>
      </c>
    </row>
    <row r="587">
      <c r="G587" s="13">
        <f>IF(A587="","",EOMONTH(A587,0))</f>
      </c>
    </row>
    <row r="588">
      <c r="G588" s="13">
        <f>IF(A588="","",EOMONTH(A588,0))</f>
      </c>
    </row>
    <row r="589">
      <c r="G589" s="13">
        <f>IF(A589="","",EOMONTH(A589,0))</f>
      </c>
    </row>
    <row r="590">
      <c r="G590" s="13">
        <f>IF(A590="","",EOMONTH(A590,0))</f>
      </c>
    </row>
    <row r="591">
      <c r="G591" s="13">
        <f>IF(A591="","",EOMONTH(A591,0))</f>
      </c>
    </row>
    <row r="592">
      <c r="G592" s="13">
        <f>IF(A592="","",EOMONTH(A592,0))</f>
      </c>
    </row>
    <row r="593">
      <c r="G593" s="13">
        <f>IF(A593="","",EOMONTH(A593,0))</f>
      </c>
    </row>
    <row r="594">
      <c r="G594" s="13">
        <f>IF(A594="","",EOMONTH(A594,0))</f>
      </c>
    </row>
    <row r="595">
      <c r="G595" s="13">
        <f>IF(A595="","",EOMONTH(A595,0))</f>
      </c>
    </row>
    <row r="596">
      <c r="G596" s="13">
        <f>IF(A596="","",EOMONTH(A596,0))</f>
      </c>
    </row>
    <row r="597">
      <c r="G597" s="13">
        <f>IF(A597="","",EOMONTH(A597,0))</f>
      </c>
    </row>
    <row r="598">
      <c r="G598" s="13">
        <f>IF(A598="","",EOMONTH(A598,0))</f>
      </c>
    </row>
    <row r="599">
      <c r="G599" s="13">
        <f>IF(A599="","",EOMONTH(A599,0))</f>
      </c>
    </row>
    <row r="600">
      <c r="G600" s="13">
        <f>IF(A600="","",EOMONTH(A600,0))</f>
      </c>
    </row>
    <row r="601">
      <c r="G601" s="13">
        <f>IF(A601="","",EOMONTH(A601,0))</f>
      </c>
    </row>
    <row r="602">
      <c r="G602" s="13">
        <f>IF(A602="","",EOMONTH(A602,0))</f>
      </c>
    </row>
    <row r="603">
      <c r="G603" s="13">
        <f>IF(A603="","",EOMONTH(A603,0))</f>
      </c>
    </row>
    <row r="604">
      <c r="G604" s="13">
        <f>IF(A604="","",EOMONTH(A604,0))</f>
      </c>
    </row>
    <row r="605">
      <c r="G605" s="13">
        <f>IF(A605="","",EOMONTH(A605,0))</f>
      </c>
    </row>
    <row r="606">
      <c r="G606" s="13">
        <f>IF(A606="","",EOMONTH(A606,0))</f>
      </c>
    </row>
    <row r="607">
      <c r="G607" s="13">
        <f>IF(A607="","",EOMONTH(A607,0))</f>
      </c>
    </row>
    <row r="608">
      <c r="G608" s="13">
        <f>IF(A608="","",EOMONTH(A608,0))</f>
      </c>
    </row>
    <row r="609">
      <c r="G609" s="13">
        <f>IF(A609="","",EOMONTH(A609,0))</f>
      </c>
    </row>
    <row r="610">
      <c r="G610" s="13">
        <f>IF(A610="","",EOMONTH(A610,0))</f>
      </c>
    </row>
    <row r="611">
      <c r="G611" s="13">
        <f>IF(A611="","",EOMONTH(A611,0))</f>
      </c>
    </row>
    <row r="612">
      <c r="G612" s="13">
        <f>IF(A612="","",EOMONTH(A612,0))</f>
      </c>
    </row>
    <row r="613">
      <c r="G613" s="13">
        <f>IF(A613="","",EOMONTH(A613,0))</f>
      </c>
    </row>
    <row r="614">
      <c r="G614" s="13">
        <f>IF(A614="","",EOMONTH(A614,0))</f>
      </c>
    </row>
    <row r="615">
      <c r="G615" s="13">
        <f>IF(A615="","",EOMONTH(A615,0))</f>
      </c>
    </row>
    <row r="616">
      <c r="G616" s="13">
        <f>IF(A616="","",EOMONTH(A616,0))</f>
      </c>
    </row>
    <row r="617">
      <c r="G617" s="13">
        <f>IF(A617="","",EOMONTH(A617,0))</f>
      </c>
    </row>
    <row r="618">
      <c r="G618" s="13">
        <f>IF(A618="","",EOMONTH(A618,0))</f>
      </c>
    </row>
    <row r="619">
      <c r="G619" s="13">
        <f>IF(A619="","",EOMONTH(A619,0))</f>
      </c>
    </row>
    <row r="620">
      <c r="G620" s="13">
        <f>IF(A620="","",EOMONTH(A620,0))</f>
      </c>
    </row>
    <row r="621">
      <c r="G621" s="13">
        <f>IF(A621="","",EOMONTH(A621,0))</f>
      </c>
    </row>
    <row r="622">
      <c r="G622" s="13">
        <f>IF(A622="","",EOMONTH(A622,0))</f>
      </c>
    </row>
    <row r="623">
      <c r="G623" s="13">
        <f>IF(A623="","",EOMONTH(A623,0))</f>
      </c>
    </row>
    <row r="624">
      <c r="G624" s="13">
        <f>IF(A624="","",EOMONTH(A624,0))</f>
      </c>
    </row>
    <row r="625">
      <c r="G625" s="13">
        <f>IF(A625="","",EOMONTH(A625,0))</f>
      </c>
    </row>
    <row r="626">
      <c r="G626" s="13">
        <f>IF(A626="","",EOMONTH(A626,0))</f>
      </c>
    </row>
    <row r="627">
      <c r="G627" s="13">
        <f>IF(A627="","",EOMONTH(A627,0))</f>
      </c>
    </row>
    <row r="628">
      <c r="G628" s="13">
        <f>IF(A628="","",EOMONTH(A628,0))</f>
      </c>
    </row>
    <row r="629">
      <c r="G629" s="13">
        <f>IF(A629="","",EOMONTH(A629,0))</f>
      </c>
    </row>
    <row r="630">
      <c r="G630" s="13">
        <f>IF(A630="","",EOMONTH(A630,0))</f>
      </c>
    </row>
    <row r="631">
      <c r="G631" s="13">
        <f>IF(A631="","",EOMONTH(A631,0))</f>
      </c>
    </row>
    <row r="632">
      <c r="G632" s="13">
        <f>IF(A632="","",EOMONTH(A632,0))</f>
      </c>
    </row>
    <row r="633">
      <c r="G633" s="13">
        <f>IF(A633="","",EOMONTH(A633,0))</f>
      </c>
    </row>
    <row r="634">
      <c r="G634" s="13">
        <f>IF(A634="","",EOMONTH(A634,0))</f>
      </c>
    </row>
    <row r="635">
      <c r="G635" s="13">
        <f>IF(A635="","",EOMONTH(A635,0))</f>
      </c>
    </row>
    <row r="636">
      <c r="G636" s="13">
        <f>IF(A636="","",EOMONTH(A636,0))</f>
      </c>
    </row>
    <row r="637">
      <c r="G637" s="13">
        <f>IF(A637="","",EOMONTH(A637,0))</f>
      </c>
    </row>
    <row r="638">
      <c r="G638" s="13">
        <f>IF(A638="","",EOMONTH(A638,0))</f>
      </c>
    </row>
    <row r="639">
      <c r="G639" s="13">
        <f>IF(A639="","",EOMONTH(A639,0))</f>
      </c>
    </row>
    <row r="640">
      <c r="G640" s="13">
        <f>IF(A640="","",EOMONTH(A640,0))</f>
      </c>
    </row>
    <row r="641">
      <c r="G641" s="13">
        <f>IF(A641="","",EOMONTH(A641,0))</f>
      </c>
    </row>
    <row r="642">
      <c r="G642" s="13">
        <f>IF(A642="","",EOMONTH(A642,0))</f>
      </c>
    </row>
    <row r="643">
      <c r="G643" s="13">
        <f>IF(A643="","",EOMONTH(A643,0))</f>
      </c>
    </row>
    <row r="644">
      <c r="G644" s="13">
        <f>IF(A644="","",EOMONTH(A644,0))</f>
      </c>
    </row>
    <row r="645">
      <c r="G645" s="13">
        <f>IF(A645="","",EOMONTH(A645,0))</f>
      </c>
    </row>
    <row r="646">
      <c r="G646" s="13">
        <f>IF(A646="","",EOMONTH(A646,0))</f>
      </c>
    </row>
    <row r="647">
      <c r="G647" s="13">
        <f>IF(A647="","",EOMONTH(A647,0))</f>
      </c>
    </row>
    <row r="648">
      <c r="G648" s="13">
        <f>IF(A648="","",EOMONTH(A648,0))</f>
      </c>
    </row>
    <row r="649">
      <c r="G649" s="13">
        <f>IF(A649="","",EOMONTH(A649,0))</f>
      </c>
    </row>
    <row r="650">
      <c r="G650" s="13">
        <f>IF(A650="","",EOMONTH(A650,0))</f>
      </c>
    </row>
    <row r="651">
      <c r="G651" s="13">
        <f>IF(A651="","",EOMONTH(A651,0))</f>
      </c>
    </row>
    <row r="652">
      <c r="G652" s="13">
        <f>IF(A652="","",EOMONTH(A652,0))</f>
      </c>
    </row>
    <row r="653">
      <c r="G653" s="13">
        <f>IF(A653="","",EOMONTH(A653,0))</f>
      </c>
    </row>
    <row r="654">
      <c r="G654" s="13">
        <f>IF(A654="","",EOMONTH(A654,0))</f>
      </c>
    </row>
    <row r="655">
      <c r="G655" s="13">
        <f>IF(A655="","",EOMONTH(A655,0))</f>
      </c>
    </row>
    <row r="656">
      <c r="G656" s="13">
        <f>IF(A656="","",EOMONTH(A656,0))</f>
      </c>
    </row>
    <row r="657">
      <c r="G657" s="13">
        <f>IF(A657="","",EOMONTH(A657,0))</f>
      </c>
    </row>
    <row r="658">
      <c r="G658" s="13">
        <f>IF(A658="","",EOMONTH(A658,0))</f>
      </c>
    </row>
    <row r="659">
      <c r="G659" s="13">
        <f>IF(A659="","",EOMONTH(A659,0))</f>
      </c>
    </row>
    <row r="660">
      <c r="G660" s="13">
        <f>IF(A660="","",EOMONTH(A660,0))</f>
      </c>
    </row>
    <row r="661">
      <c r="G661" s="13">
        <f>IF(A661="","",EOMONTH(A661,0))</f>
      </c>
    </row>
    <row r="662">
      <c r="G662" s="13">
        <f>IF(A662="","",EOMONTH(A662,0))</f>
      </c>
    </row>
    <row r="663">
      <c r="G663" s="13">
        <f>IF(A663="","",EOMONTH(A663,0))</f>
      </c>
    </row>
    <row r="664">
      <c r="G664" s="13">
        <f>IF(A664="","",EOMONTH(A664,0))</f>
      </c>
    </row>
    <row r="665">
      <c r="G665" s="13">
        <f>IF(A665="","",EOMONTH(A665,0))</f>
      </c>
    </row>
    <row r="666">
      <c r="G666" s="13">
        <f>IF(A666="","",EOMONTH(A666,0))</f>
      </c>
    </row>
    <row r="667">
      <c r="G667" s="13">
        <f>IF(A667="","",EOMONTH(A667,0))</f>
      </c>
    </row>
    <row r="668">
      <c r="G668" s="13">
        <f>IF(A668="","",EOMONTH(A668,0))</f>
      </c>
    </row>
    <row r="669">
      <c r="G669" s="13">
        <f>IF(A669="","",EOMONTH(A669,0))</f>
      </c>
    </row>
    <row r="670">
      <c r="G670" s="13">
        <f>IF(A670="","",EOMONTH(A670,0))</f>
      </c>
    </row>
    <row r="671">
      <c r="G671" s="13">
        <f>IF(A671="","",EOMONTH(A671,0))</f>
      </c>
    </row>
    <row r="672">
      <c r="G672" s="13">
        <f>IF(A672="","",EOMONTH(A672,0))</f>
      </c>
    </row>
    <row r="673">
      <c r="G673" s="13">
        <f>IF(A673="","",EOMONTH(A673,0))</f>
      </c>
    </row>
    <row r="674">
      <c r="G674" s="13">
        <f>IF(A674="","",EOMONTH(A674,0))</f>
      </c>
    </row>
    <row r="675">
      <c r="G675" s="13">
        <f>IF(A675="","",EOMONTH(A675,0))</f>
      </c>
    </row>
    <row r="676">
      <c r="G676" s="13">
        <f>IF(A676="","",EOMONTH(A676,0))</f>
      </c>
    </row>
    <row r="677">
      <c r="G677" s="13">
        <f>IF(A677="","",EOMONTH(A677,0))</f>
      </c>
    </row>
    <row r="678">
      <c r="G678" s="13">
        <f>IF(A678="","",EOMONTH(A678,0))</f>
      </c>
    </row>
    <row r="679">
      <c r="G679" s="13">
        <f>IF(A679="","",EOMONTH(A679,0))</f>
      </c>
    </row>
    <row r="680">
      <c r="G680" s="13">
        <f>IF(A680="","",EOMONTH(A680,0))</f>
      </c>
    </row>
    <row r="681">
      <c r="G681" s="13">
        <f>IF(A681="","",EOMONTH(A681,0))</f>
      </c>
    </row>
    <row r="682">
      <c r="G682" s="13">
        <f>IF(A682="","",EOMONTH(A682,0))</f>
      </c>
    </row>
    <row r="683">
      <c r="G683" s="13">
        <f>IF(A683="","",EOMONTH(A683,0))</f>
      </c>
    </row>
    <row r="684">
      <c r="G684" s="13">
        <f>IF(A684="","",EOMONTH(A684,0))</f>
      </c>
    </row>
    <row r="685">
      <c r="G685" s="13">
        <f>IF(A685="","",EOMONTH(A685,0))</f>
      </c>
    </row>
    <row r="686">
      <c r="G686" s="13">
        <f>IF(A686="","",EOMONTH(A686,0))</f>
      </c>
    </row>
    <row r="687">
      <c r="G687" s="13">
        <f>IF(A687="","",EOMONTH(A687,0))</f>
      </c>
    </row>
    <row r="688">
      <c r="G688" s="13">
        <f>IF(A688="","",EOMONTH(A688,0))</f>
      </c>
    </row>
    <row r="689">
      <c r="G689" s="13">
        <f>IF(A689="","",EOMONTH(A689,0))</f>
      </c>
    </row>
    <row r="690">
      <c r="G690" s="13">
        <f>IF(A690="","",EOMONTH(A690,0))</f>
      </c>
    </row>
    <row r="691">
      <c r="G691" s="13">
        <f>IF(A691="","",EOMONTH(A691,0))</f>
      </c>
    </row>
    <row r="692">
      <c r="G692" s="13">
        <f>IF(A692="","",EOMONTH(A692,0))</f>
      </c>
    </row>
    <row r="693">
      <c r="G693" s="13">
        <f>IF(A693="","",EOMONTH(A693,0))</f>
      </c>
    </row>
    <row r="694">
      <c r="G694" s="13">
        <f>IF(A694="","",EOMONTH(A694,0))</f>
      </c>
    </row>
    <row r="695">
      <c r="G695" s="13">
        <f>IF(A695="","",EOMONTH(A695,0))</f>
      </c>
    </row>
    <row r="696">
      <c r="G696" s="13">
        <f>IF(A696="","",EOMONTH(A696,0))</f>
      </c>
    </row>
    <row r="697">
      <c r="G697" s="13">
        <f>IF(A697="","",EOMONTH(A697,0))</f>
      </c>
    </row>
    <row r="698">
      <c r="G698" s="13">
        <f>IF(A698="","",EOMONTH(A698,0))</f>
      </c>
    </row>
    <row r="699">
      <c r="G699" s="13">
        <f>IF(A699="","",EOMONTH(A699,0))</f>
      </c>
    </row>
    <row r="700">
      <c r="G700" s="13">
        <f>IF(A700="","",EOMONTH(A700,0))</f>
      </c>
    </row>
    <row r="701">
      <c r="G701" s="13">
        <f>IF(A701="","",EOMONTH(A701,0))</f>
      </c>
    </row>
    <row r="702">
      <c r="G702" s="13">
        <f>IF(A702="","",EOMONTH(A702,0))</f>
      </c>
    </row>
    <row r="703">
      <c r="G703" s="13">
        <f>IF(A703="","",EOMONTH(A703,0))</f>
      </c>
    </row>
    <row r="704">
      <c r="G704" s="13">
        <f>IF(A704="","",EOMONTH(A704,0))</f>
      </c>
    </row>
    <row r="705">
      <c r="G705" s="13">
        <f>IF(A705="","",EOMONTH(A705,0))</f>
      </c>
    </row>
    <row r="706">
      <c r="G706" s="13">
        <f>IF(A706="","",EOMONTH(A706,0))</f>
      </c>
    </row>
    <row r="707">
      <c r="G707" s="13">
        <f>IF(A707="","",EOMONTH(A707,0))</f>
      </c>
    </row>
    <row r="708">
      <c r="G708" s="13">
        <f>IF(A708="","",EOMONTH(A708,0))</f>
      </c>
    </row>
    <row r="709">
      <c r="G709" s="13">
        <f>IF(A709="","",EOMONTH(A709,0))</f>
      </c>
    </row>
    <row r="710">
      <c r="G710" s="13">
        <f>IF(A710="","",EOMONTH(A710,0))</f>
      </c>
    </row>
    <row r="711">
      <c r="G711" s="13">
        <f>IF(A711="","",EOMONTH(A711,0))</f>
      </c>
    </row>
    <row r="712">
      <c r="G712" s="13">
        <f>IF(A712="","",EOMONTH(A712,0))</f>
      </c>
    </row>
    <row r="713">
      <c r="G713" s="13">
        <f>IF(A713="","",EOMONTH(A713,0))</f>
      </c>
    </row>
    <row r="714">
      <c r="G714" s="13">
        <f>IF(A714="","",EOMONTH(A714,0))</f>
      </c>
    </row>
    <row r="715">
      <c r="G715" s="13">
        <f>IF(A715="","",EOMONTH(A715,0))</f>
      </c>
    </row>
    <row r="716">
      <c r="G716" s="13">
        <f>IF(A716="","",EOMONTH(A716,0))</f>
      </c>
    </row>
    <row r="717">
      <c r="G717" s="13">
        <f>IF(A717="","",EOMONTH(A717,0))</f>
      </c>
    </row>
    <row r="718">
      <c r="G718" s="13">
        <f>IF(A718="","",EOMONTH(A718,0))</f>
      </c>
    </row>
    <row r="719">
      <c r="G719" s="13">
        <f>IF(A719="","",EOMONTH(A719,0))</f>
      </c>
    </row>
    <row r="720">
      <c r="G720" s="13">
        <f>IF(A720="","",EOMONTH(A720,0))</f>
      </c>
    </row>
    <row r="721">
      <c r="G721" s="13">
        <f>IF(A721="","",EOMONTH(A721,0))</f>
      </c>
    </row>
    <row r="722">
      <c r="G722" s="13">
        <f>IF(A722="","",EOMONTH(A722,0))</f>
      </c>
    </row>
    <row r="723">
      <c r="G723" s="13">
        <f>IF(A723="","",EOMONTH(A723,0))</f>
      </c>
    </row>
    <row r="724">
      <c r="G724" s="13">
        <f>IF(A724="","",EOMONTH(A724,0))</f>
      </c>
    </row>
    <row r="725">
      <c r="G725" s="13">
        <f>IF(A725="","",EOMONTH(A725,0))</f>
      </c>
    </row>
    <row r="726">
      <c r="G726" s="13">
        <f>IF(A726="","",EOMONTH(A726,0))</f>
      </c>
    </row>
    <row r="727">
      <c r="G727" s="13">
        <f>IF(A727="","",EOMONTH(A727,0))</f>
      </c>
    </row>
    <row r="728">
      <c r="G728" s="13">
        <f>IF(A728="","",EOMONTH(A728,0))</f>
      </c>
    </row>
    <row r="729">
      <c r="G729" s="13">
        <f>IF(A729="","",EOMONTH(A729,0))</f>
      </c>
    </row>
    <row r="730">
      <c r="G730" s="13">
        <f>IF(A730="","",EOMONTH(A730,0))</f>
      </c>
    </row>
    <row r="731">
      <c r="G731" s="13">
        <f>IF(A731="","",EOMONTH(A731,0))</f>
      </c>
    </row>
    <row r="732">
      <c r="G732" s="13">
        <f>IF(A732="","",EOMONTH(A732,0))</f>
      </c>
    </row>
    <row r="733">
      <c r="G733" s="13">
        <f>IF(A733="","",EOMONTH(A733,0))</f>
      </c>
    </row>
    <row r="734">
      <c r="G734" s="13">
        <f>IF(A734="","",EOMONTH(A734,0))</f>
      </c>
    </row>
    <row r="735">
      <c r="G735" s="13">
        <f>IF(A735="","",EOMONTH(A735,0))</f>
      </c>
    </row>
    <row r="736">
      <c r="G736" s="13">
        <f>IF(A736="","",EOMONTH(A736,0))</f>
      </c>
    </row>
    <row r="737">
      <c r="G737" s="13">
        <f>IF(A737="","",EOMONTH(A737,0))</f>
      </c>
    </row>
    <row r="738">
      <c r="G738" s="13">
        <f>IF(A738="","",EOMONTH(A738,0))</f>
      </c>
    </row>
    <row r="739">
      <c r="G739" s="13">
        <f>IF(A739="","",EOMONTH(A739,0))</f>
      </c>
    </row>
    <row r="740">
      <c r="G740" s="13">
        <f>IF(A740="","",EOMONTH(A740,0))</f>
      </c>
    </row>
    <row r="741">
      <c r="G741" s="13">
        <f>IF(A741="","",EOMONTH(A741,0))</f>
      </c>
    </row>
    <row r="742">
      <c r="G742" s="13">
        <f>IF(A742="","",EOMONTH(A742,0))</f>
      </c>
    </row>
    <row r="743">
      <c r="G743" s="13">
        <f>IF(A743="","",EOMONTH(A743,0))</f>
      </c>
    </row>
    <row r="744">
      <c r="G744" s="13">
        <f>IF(A744="","",EOMONTH(A744,0))</f>
      </c>
    </row>
    <row r="745">
      <c r="G745" s="13">
        <f>IF(A745="","",EOMONTH(A745,0))</f>
      </c>
    </row>
    <row r="746">
      <c r="G746" s="13">
        <f>IF(A746="","",EOMONTH(A746,0))</f>
      </c>
    </row>
    <row r="747">
      <c r="G747" s="13">
        <f>IF(A747="","",EOMONTH(A747,0))</f>
      </c>
    </row>
    <row r="748">
      <c r="G748" s="13">
        <f>IF(A748="","",EOMONTH(A748,0))</f>
      </c>
    </row>
    <row r="749">
      <c r="G749" s="13">
        <f>IF(A749="","",EOMONTH(A749,0))</f>
      </c>
    </row>
    <row r="750">
      <c r="G750" s="13">
        <f>IF(A750="","",EOMONTH(A750,0))</f>
      </c>
    </row>
    <row r="751">
      <c r="G751" s="13">
        <f>IF(A751="","",EOMONTH(A751,0))</f>
      </c>
    </row>
    <row r="752">
      <c r="G752" s="13">
        <f>IF(A752="","",EOMONTH(A752,0))</f>
      </c>
    </row>
    <row r="753">
      <c r="G753" s="13">
        <f>IF(A753="","",EOMONTH(A753,0))</f>
      </c>
    </row>
    <row r="754">
      <c r="G754" s="13">
        <f>IF(A754="","",EOMONTH(A754,0))</f>
      </c>
    </row>
    <row r="755">
      <c r="G755" s="13">
        <f>IF(A755="","",EOMONTH(A755,0))</f>
      </c>
    </row>
    <row r="756">
      <c r="G756" s="13">
        <f>IF(A756="","",EOMONTH(A756,0))</f>
      </c>
    </row>
    <row r="757">
      <c r="G757" s="13">
        <f>IF(A757="","",EOMONTH(A757,0))</f>
      </c>
    </row>
    <row r="758">
      <c r="G758" s="13">
        <f>IF(A758="","",EOMONTH(A758,0))</f>
      </c>
    </row>
    <row r="759">
      <c r="G759" s="13">
        <f>IF(A759="","",EOMONTH(A759,0))</f>
      </c>
    </row>
    <row r="760">
      <c r="G760" s="13">
        <f>IF(A760="","",EOMONTH(A760,0))</f>
      </c>
    </row>
    <row r="761">
      <c r="G761" s="13">
        <f>IF(A761="","",EOMONTH(A761,0))</f>
      </c>
    </row>
    <row r="762">
      <c r="G762" s="13">
        <f>IF(A762="","",EOMONTH(A762,0))</f>
      </c>
    </row>
    <row r="763">
      <c r="G763" s="13">
        <f>IF(A763="","",EOMONTH(A763,0))</f>
      </c>
    </row>
    <row r="764">
      <c r="G764" s="13">
        <f>IF(A764="","",EOMONTH(A764,0))</f>
      </c>
    </row>
    <row r="765">
      <c r="G765" s="13">
        <f>IF(A765="","",EOMONTH(A765,0))</f>
      </c>
    </row>
    <row r="766">
      <c r="G766" s="13">
        <f>IF(A766="","",EOMONTH(A766,0))</f>
      </c>
    </row>
    <row r="767">
      <c r="G767" s="13">
        <f>IF(A767="","",EOMONTH(A767,0))</f>
      </c>
    </row>
    <row r="768">
      <c r="G768" s="13">
        <f>IF(A768="","",EOMONTH(A768,0))</f>
      </c>
    </row>
    <row r="769">
      <c r="G769" s="13">
        <f>IF(A769="","",EOMONTH(A769,0))</f>
      </c>
    </row>
    <row r="770">
      <c r="G770" s="13">
        <f>IF(A770="","",EOMONTH(A770,0))</f>
      </c>
    </row>
    <row r="771">
      <c r="G771" s="13">
        <f>IF(A771="","",EOMONTH(A771,0))</f>
      </c>
    </row>
    <row r="772">
      <c r="G772" s="13">
        <f>IF(A772="","",EOMONTH(A772,0))</f>
      </c>
    </row>
    <row r="773">
      <c r="G773" s="13">
        <f>IF(A773="","",EOMONTH(A773,0))</f>
      </c>
    </row>
    <row r="774">
      <c r="G774" s="13">
        <f>IF(A774="","",EOMONTH(A774,0))</f>
      </c>
    </row>
    <row r="775">
      <c r="G775" s="13">
        <f>IF(A775="","",EOMONTH(A775,0))</f>
      </c>
    </row>
    <row r="776">
      <c r="G776" s="13">
        <f>IF(A776="","",EOMONTH(A776,0))</f>
      </c>
    </row>
    <row r="777">
      <c r="G777" s="13">
        <f>IF(A777="","",EOMONTH(A777,0))</f>
      </c>
    </row>
    <row r="778">
      <c r="G778" s="13">
        <f>IF(A778="","",EOMONTH(A778,0))</f>
      </c>
    </row>
    <row r="779">
      <c r="G779" s="13">
        <f>IF(A779="","",EOMONTH(A779,0))</f>
      </c>
    </row>
    <row r="780">
      <c r="G780" s="13">
        <f>IF(A780="","",EOMONTH(A780,0))</f>
      </c>
    </row>
    <row r="781">
      <c r="G781" s="13">
        <f>IF(A781="","",EOMONTH(A781,0))</f>
      </c>
    </row>
    <row r="782">
      <c r="G782" s="13">
        <f>IF(A782="","",EOMONTH(A782,0))</f>
      </c>
    </row>
    <row r="783">
      <c r="G783" s="13">
        <f>IF(A783="","",EOMONTH(A783,0))</f>
      </c>
    </row>
    <row r="784">
      <c r="G784" s="13">
        <f>IF(A784="","",EOMONTH(A784,0))</f>
      </c>
    </row>
    <row r="785">
      <c r="G785" s="13">
        <f>IF(A785="","",EOMONTH(A785,0))</f>
      </c>
    </row>
    <row r="786">
      <c r="G786" s="13">
        <f>IF(A786="","",EOMONTH(A786,0))</f>
      </c>
    </row>
    <row r="787">
      <c r="G787" s="13">
        <f>IF(A787="","",EOMONTH(A787,0))</f>
      </c>
    </row>
    <row r="788">
      <c r="G788" s="13">
        <f>IF(A788="","",EOMONTH(A788,0))</f>
      </c>
    </row>
    <row r="789">
      <c r="G789" s="13">
        <f>IF(A789="","",EOMONTH(A789,0))</f>
      </c>
    </row>
    <row r="790">
      <c r="G790" s="13">
        <f>IF(A790="","",EOMONTH(A790,0))</f>
      </c>
    </row>
    <row r="791">
      <c r="G791" s="13">
        <f>IF(A791="","",EOMONTH(A791,0))</f>
      </c>
    </row>
    <row r="792">
      <c r="G792" s="13">
        <f>IF(A792="","",EOMONTH(A792,0))</f>
      </c>
    </row>
    <row r="793">
      <c r="G793" s="13">
        <f>IF(A793="","",EOMONTH(A793,0))</f>
      </c>
    </row>
    <row r="794">
      <c r="G794" s="13">
        <f>IF(A794="","",EOMONTH(A794,0))</f>
      </c>
    </row>
    <row r="795">
      <c r="G795" s="13">
        <f>IF(A795="","",EOMONTH(A795,0))</f>
      </c>
    </row>
    <row r="796">
      <c r="G796" s="13">
        <f>IF(A796="","",EOMONTH(A796,0))</f>
      </c>
    </row>
    <row r="797">
      <c r="G797" s="13">
        <f>IF(A797="","",EOMONTH(A797,0))</f>
      </c>
    </row>
    <row r="798">
      <c r="G798" s="13">
        <f>IF(A798="","",EOMONTH(A798,0))</f>
      </c>
    </row>
    <row r="799">
      <c r="G799" s="13">
        <f>IF(A799="","",EOMONTH(A799,0))</f>
      </c>
    </row>
    <row r="800">
      <c r="G800" s="13">
        <f>IF(A800="","",EOMONTH(A800,0))</f>
      </c>
    </row>
    <row r="801">
      <c r="G801" s="13">
        <f>IF(A801="","",EOMONTH(A801,0))</f>
      </c>
    </row>
    <row r="802">
      <c r="G802" s="13">
        <f>IF(A802="","",EOMONTH(A802,0))</f>
      </c>
    </row>
    <row r="803">
      <c r="G803" s="13">
        <f>IF(A803="","",EOMONTH(A803,0))</f>
      </c>
    </row>
    <row r="804">
      <c r="G804" s="13">
        <f>IF(A804="","",EOMONTH(A804,0))</f>
      </c>
    </row>
    <row r="805">
      <c r="G805" s="13">
        <f>IF(A805="","",EOMONTH(A805,0))</f>
      </c>
    </row>
    <row r="806">
      <c r="G806" s="13">
        <f>IF(A806="","",EOMONTH(A806,0))</f>
      </c>
    </row>
    <row r="807">
      <c r="G807" s="13">
        <f>IF(A807="","",EOMONTH(A807,0))</f>
      </c>
    </row>
    <row r="808">
      <c r="G808" s="13">
        <f>IF(A808="","",EOMONTH(A808,0))</f>
      </c>
    </row>
    <row r="809">
      <c r="G809" s="13">
        <f>IF(A809="","",EOMONTH(A809,0))</f>
      </c>
    </row>
    <row r="810">
      <c r="G810" s="13">
        <f>IF(A810="","",EOMONTH(A810,0))</f>
      </c>
    </row>
    <row r="811">
      <c r="G811" s="13">
        <f>IF(A811="","",EOMONTH(A811,0))</f>
      </c>
    </row>
    <row r="812">
      <c r="G812" s="13">
        <f>IF(A812="","",EOMONTH(A812,0))</f>
      </c>
    </row>
    <row r="813">
      <c r="G813" s="13">
        <f>IF(A813="","",EOMONTH(A813,0))</f>
      </c>
    </row>
    <row r="814">
      <c r="G814" s="13">
        <f>IF(A814="","",EOMONTH(A814,0))</f>
      </c>
    </row>
    <row r="815">
      <c r="G815" s="13">
        <f>IF(A815="","",EOMONTH(A815,0))</f>
      </c>
    </row>
    <row r="816">
      <c r="G816" s="13">
        <f>IF(A816="","",EOMONTH(A816,0))</f>
      </c>
    </row>
    <row r="817">
      <c r="G817" s="13">
        <f>IF(A817="","",EOMONTH(A817,0))</f>
      </c>
    </row>
    <row r="818">
      <c r="G818" s="13">
        <f>IF(A818="","",EOMONTH(A818,0))</f>
      </c>
    </row>
    <row r="819">
      <c r="G819" s="13">
        <f>IF(A819="","",EOMONTH(A819,0))</f>
      </c>
    </row>
    <row r="820">
      <c r="G820" s="13">
        <f>IF(A820="","",EOMONTH(A820,0))</f>
      </c>
    </row>
    <row r="821">
      <c r="G821" s="13">
        <f>IF(A821="","",EOMONTH(A821,0))</f>
      </c>
    </row>
    <row r="822">
      <c r="G822" s="13">
        <f>IF(A822="","",EOMONTH(A822,0))</f>
      </c>
    </row>
    <row r="823">
      <c r="G823" s="13">
        <f>IF(A823="","",EOMONTH(A823,0))</f>
      </c>
    </row>
    <row r="824">
      <c r="G824" s="13">
        <f>IF(A824="","",EOMONTH(A824,0))</f>
      </c>
    </row>
    <row r="825">
      <c r="G825" s="13">
        <f>IF(A825="","",EOMONTH(A825,0))</f>
      </c>
    </row>
    <row r="826">
      <c r="G826" s="13">
        <f>IF(A826="","",EOMONTH(A826,0))</f>
      </c>
    </row>
    <row r="827">
      <c r="G827" s="13">
        <f>IF(A827="","",EOMONTH(A827,0))</f>
      </c>
    </row>
    <row r="828">
      <c r="G828" s="13">
        <f>IF(A828="","",EOMONTH(A828,0))</f>
      </c>
    </row>
    <row r="829">
      <c r="G829" s="13">
        <f>IF(A829="","",EOMONTH(A829,0))</f>
      </c>
    </row>
    <row r="830">
      <c r="G830" s="13">
        <f>IF(A830="","",EOMONTH(A830,0))</f>
      </c>
    </row>
    <row r="831">
      <c r="G831" s="13">
        <f>IF(A831="","",EOMONTH(A831,0))</f>
      </c>
    </row>
    <row r="832">
      <c r="G832" s="13">
        <f>IF(A832="","",EOMONTH(A832,0))</f>
      </c>
    </row>
    <row r="833">
      <c r="G833" s="13">
        <f>IF(A833="","",EOMONTH(A833,0))</f>
      </c>
    </row>
    <row r="834">
      <c r="G834" s="13">
        <f>IF(A834="","",EOMONTH(A834,0))</f>
      </c>
    </row>
    <row r="835">
      <c r="G835" s="13">
        <f>IF(A835="","",EOMONTH(A835,0))</f>
      </c>
    </row>
    <row r="836">
      <c r="G836" s="13">
        <f>IF(A836="","",EOMONTH(A836,0))</f>
      </c>
    </row>
    <row r="837">
      <c r="G837" s="13">
        <f>IF(A837="","",EOMONTH(A837,0))</f>
      </c>
    </row>
    <row r="838">
      <c r="G838" s="13">
        <f>IF(A838="","",EOMONTH(A838,0))</f>
      </c>
    </row>
    <row r="839">
      <c r="G839" s="13">
        <f>IF(A839="","",EOMONTH(A839,0))</f>
      </c>
    </row>
    <row r="840">
      <c r="G840" s="13">
        <f>IF(A840="","",EOMONTH(A840,0))</f>
      </c>
    </row>
    <row r="841">
      <c r="G841" s="13">
        <f>IF(A841="","",EOMONTH(A841,0))</f>
      </c>
    </row>
    <row r="842">
      <c r="G842" s="13">
        <f>IF(A842="","",EOMONTH(A842,0))</f>
      </c>
    </row>
    <row r="843">
      <c r="G843" s="13">
        <f>IF(A843="","",EOMONTH(A843,0))</f>
      </c>
    </row>
    <row r="844">
      <c r="G844" s="13">
        <f>IF(A844="","",EOMONTH(A844,0))</f>
      </c>
    </row>
    <row r="845">
      <c r="G845" s="13">
        <f>IF(A845="","",EOMONTH(A845,0))</f>
      </c>
    </row>
    <row r="846">
      <c r="G846" s="13">
        <f>IF(A846="","",EOMONTH(A846,0))</f>
      </c>
    </row>
    <row r="847">
      <c r="G847" s="13">
        <f>IF(A847="","",EOMONTH(A847,0))</f>
      </c>
    </row>
    <row r="848">
      <c r="G848" s="13">
        <f>IF(A848="","",EOMONTH(A848,0))</f>
      </c>
    </row>
    <row r="849">
      <c r="G849" s="13">
        <f>IF(A849="","",EOMONTH(A849,0))</f>
      </c>
    </row>
    <row r="850">
      <c r="G850" s="13">
        <f>IF(A850="","",EOMONTH(A850,0))</f>
      </c>
    </row>
    <row r="851">
      <c r="G851" s="13">
        <f>IF(A851="","",EOMONTH(A851,0))</f>
      </c>
    </row>
    <row r="852">
      <c r="G852" s="13">
        <f>IF(A852="","",EOMONTH(A852,0))</f>
      </c>
    </row>
    <row r="853">
      <c r="G853" s="13">
        <f>IF(A853="","",EOMONTH(A853,0))</f>
      </c>
    </row>
    <row r="854">
      <c r="G854" s="13">
        <f>IF(A854="","",EOMONTH(A854,0))</f>
      </c>
    </row>
    <row r="855">
      <c r="G855" s="13">
        <f>IF(A855="","",EOMONTH(A855,0))</f>
      </c>
    </row>
    <row r="856">
      <c r="G856" s="13">
        <f>IF(A856="","",EOMONTH(A856,0))</f>
      </c>
    </row>
    <row r="857">
      <c r="G857" s="13">
        <f>IF(A857="","",EOMONTH(A857,0))</f>
      </c>
    </row>
    <row r="858">
      <c r="G858" s="13">
        <f>IF(A858="","",EOMONTH(A858,0))</f>
      </c>
    </row>
    <row r="859">
      <c r="G859" s="13">
        <f>IF(A859="","",EOMONTH(A859,0))</f>
      </c>
    </row>
    <row r="860">
      <c r="G860" s="13">
        <f>IF(A860="","",EOMONTH(A860,0))</f>
      </c>
    </row>
    <row r="861">
      <c r="G861" s="13">
        <f>IF(A861="","",EOMONTH(A861,0))</f>
      </c>
    </row>
    <row r="862">
      <c r="G862" s="13">
        <f>IF(A862="","",EOMONTH(A862,0))</f>
      </c>
    </row>
    <row r="863">
      <c r="G863" s="13">
        <f>IF(A863="","",EOMONTH(A863,0))</f>
      </c>
    </row>
    <row r="864">
      <c r="G864" s="13">
        <f>IF(A864="","",EOMONTH(A864,0))</f>
      </c>
    </row>
    <row r="865">
      <c r="G865" s="13">
        <f>IF(A865="","",EOMONTH(A865,0))</f>
      </c>
    </row>
    <row r="866">
      <c r="G866" s="13">
        <f>IF(A866="","",EOMONTH(A866,0))</f>
      </c>
    </row>
    <row r="867">
      <c r="G867" s="13">
        <f>IF(A867="","",EOMONTH(A867,0))</f>
      </c>
    </row>
    <row r="868">
      <c r="G868" s="13">
        <f>IF(A868="","",EOMONTH(A868,0))</f>
      </c>
    </row>
    <row r="869">
      <c r="G869" s="13">
        <f>IF(A869="","",EOMONTH(A869,0))</f>
      </c>
    </row>
    <row r="870">
      <c r="G870" s="13">
        <f>IF(A870="","",EOMONTH(A870,0))</f>
      </c>
    </row>
    <row r="871">
      <c r="G871" s="13">
        <f>IF(A871="","",EOMONTH(A871,0))</f>
      </c>
    </row>
    <row r="872">
      <c r="G872" s="13">
        <f>IF(A872="","",EOMONTH(A872,0))</f>
      </c>
    </row>
    <row r="873">
      <c r="G873" s="13">
        <f>IF(A873="","",EOMONTH(A873,0))</f>
      </c>
    </row>
    <row r="874">
      <c r="G874" s="13">
        <f>IF(A874="","",EOMONTH(A874,0))</f>
      </c>
    </row>
    <row r="875">
      <c r="G875" s="13">
        <f>IF(A875="","",EOMONTH(A875,0))</f>
      </c>
    </row>
    <row r="876">
      <c r="G876" s="13">
        <f>IF(A876="","",EOMONTH(A876,0))</f>
      </c>
    </row>
    <row r="877">
      <c r="G877" s="13">
        <f>IF(A877="","",EOMONTH(A877,0))</f>
      </c>
    </row>
    <row r="878">
      <c r="G878" s="13">
        <f>IF(A878="","",EOMONTH(A878,0))</f>
      </c>
    </row>
    <row r="879">
      <c r="G879" s="13">
        <f>IF(A879="","",EOMONTH(A879,0))</f>
      </c>
    </row>
    <row r="880">
      <c r="G880" s="13">
        <f>IF(A880="","",EOMONTH(A880,0))</f>
      </c>
    </row>
    <row r="881">
      <c r="G881" s="13">
        <f>IF(A881="","",EOMONTH(A881,0))</f>
      </c>
    </row>
    <row r="882">
      <c r="G882" s="13">
        <f>IF(A882="","",EOMONTH(A882,0))</f>
      </c>
    </row>
    <row r="883">
      <c r="G883" s="13">
        <f>IF(A883="","",EOMONTH(A883,0))</f>
      </c>
    </row>
    <row r="884">
      <c r="G884" s="13">
        <f>IF(A884="","",EOMONTH(A884,0))</f>
      </c>
    </row>
    <row r="885">
      <c r="G885" s="13">
        <f>IF(A885="","",EOMONTH(A885,0))</f>
      </c>
    </row>
    <row r="886">
      <c r="G886" s="13">
        <f>IF(A886="","",EOMONTH(A886,0))</f>
      </c>
    </row>
    <row r="887">
      <c r="G887" s="13">
        <f>IF(A887="","",EOMONTH(A887,0))</f>
      </c>
    </row>
    <row r="888">
      <c r="G888" s="13">
        <f>IF(A888="","",EOMONTH(A888,0))</f>
      </c>
    </row>
    <row r="889">
      <c r="G889" s="13">
        <f>IF(A889="","",EOMONTH(A889,0))</f>
      </c>
    </row>
    <row r="890">
      <c r="G890" s="13">
        <f>IF(A890="","",EOMONTH(A890,0))</f>
      </c>
    </row>
    <row r="891">
      <c r="G891" s="13">
        <f>IF(A891="","",EOMONTH(A891,0))</f>
      </c>
    </row>
    <row r="892">
      <c r="G892" s="13">
        <f>IF(A892="","",EOMONTH(A892,0))</f>
      </c>
    </row>
    <row r="893">
      <c r="G893" s="13">
        <f>IF(A893="","",EOMONTH(A893,0))</f>
      </c>
    </row>
    <row r="894">
      <c r="G894" s="13">
        <f>IF(A894="","",EOMONTH(A894,0))</f>
      </c>
    </row>
    <row r="895">
      <c r="G895" s="13">
        <f>IF(A895="","",EOMONTH(A895,0))</f>
      </c>
    </row>
    <row r="896">
      <c r="G896" s="13">
        <f>IF(A896="","",EOMONTH(A896,0))</f>
      </c>
    </row>
    <row r="897">
      <c r="G897" s="13">
        <f>IF(A897="","",EOMONTH(A897,0))</f>
      </c>
    </row>
    <row r="898">
      <c r="G898" s="13">
        <f>IF(A898="","",EOMONTH(A898,0))</f>
      </c>
    </row>
    <row r="899">
      <c r="G899" s="13">
        <f>IF(A899="","",EOMONTH(A899,0))</f>
      </c>
    </row>
    <row r="900">
      <c r="G900" s="13">
        <f>IF(A900="","",EOMONTH(A900,0))</f>
      </c>
    </row>
    <row r="901">
      <c r="G901" s="13">
        <f>IF(A901="","",EOMONTH(A901,0))</f>
      </c>
    </row>
    <row r="902">
      <c r="G902" s="13">
        <f>IF(A902="","",EOMONTH(A902,0))</f>
      </c>
    </row>
    <row r="903">
      <c r="G903" s="13">
        <f>IF(A903="","",EOMONTH(A903,0))</f>
      </c>
    </row>
    <row r="904">
      <c r="G904" s="13">
        <f>IF(A904="","",EOMONTH(A904,0))</f>
      </c>
    </row>
    <row r="905">
      <c r="G905" s="13">
        <f>IF(A905="","",EOMONTH(A905,0))</f>
      </c>
    </row>
    <row r="906">
      <c r="G906" s="13">
        <f>IF(A906="","",EOMONTH(A906,0))</f>
      </c>
    </row>
    <row r="907">
      <c r="G907" s="13">
        <f>IF(A907="","",EOMONTH(A907,0))</f>
      </c>
    </row>
    <row r="908">
      <c r="G908" s="13">
        <f>IF(A908="","",EOMONTH(A908,0))</f>
      </c>
    </row>
    <row r="909">
      <c r="G909" s="13">
        <f>IF(A909="","",EOMONTH(A909,0))</f>
      </c>
    </row>
    <row r="910">
      <c r="G910" s="13">
        <f>IF(A910="","",EOMONTH(A910,0))</f>
      </c>
    </row>
    <row r="911">
      <c r="G911" s="13">
        <f>IF(A911="","",EOMONTH(A911,0))</f>
      </c>
    </row>
    <row r="912">
      <c r="G912" s="13">
        <f>IF(A912="","",EOMONTH(A912,0))</f>
      </c>
    </row>
    <row r="913">
      <c r="G913" s="13">
        <f>IF(A913="","",EOMONTH(A913,0))</f>
      </c>
    </row>
    <row r="914">
      <c r="G914" s="13">
        <f>IF(A914="","",EOMONTH(A914,0))</f>
      </c>
    </row>
    <row r="915">
      <c r="G915" s="13">
        <f>IF(A915="","",EOMONTH(A915,0))</f>
      </c>
    </row>
    <row r="916">
      <c r="G916" s="13">
        <f>IF(A916="","",EOMONTH(A916,0))</f>
      </c>
    </row>
    <row r="917">
      <c r="G917" s="13">
        <f>IF(A917="","",EOMONTH(A917,0))</f>
      </c>
    </row>
    <row r="918">
      <c r="G918" s="13">
        <f>IF(A918="","",EOMONTH(A918,0))</f>
      </c>
    </row>
    <row r="919">
      <c r="G919" s="13">
        <f>IF(A919="","",EOMONTH(A919,0))</f>
      </c>
    </row>
    <row r="920">
      <c r="G920" s="13">
        <f>IF(A920="","",EOMONTH(A920,0))</f>
      </c>
    </row>
    <row r="921">
      <c r="G921" s="13">
        <f>IF(A921="","",EOMONTH(A921,0))</f>
      </c>
    </row>
    <row r="922">
      <c r="G922" s="13">
        <f>IF(A922="","",EOMONTH(A922,0))</f>
      </c>
    </row>
    <row r="923">
      <c r="G923" s="13">
        <f>IF(A923="","",EOMONTH(A923,0))</f>
      </c>
    </row>
    <row r="924">
      <c r="G924" s="13">
        <f>IF(A924="","",EOMONTH(A924,0))</f>
      </c>
    </row>
    <row r="925">
      <c r="G925" s="13">
        <f>IF(A925="","",EOMONTH(A925,0))</f>
      </c>
    </row>
    <row r="926">
      <c r="G926" s="13">
        <f>IF(A926="","",EOMONTH(A926,0))</f>
      </c>
    </row>
    <row r="927">
      <c r="G927" s="13">
        <f>IF(A927="","",EOMONTH(A927,0))</f>
      </c>
    </row>
    <row r="928">
      <c r="G928" s="13">
        <f>IF(A928="","",EOMONTH(A928,0))</f>
      </c>
    </row>
    <row r="929">
      <c r="G929" s="13">
        <f>IF(A929="","",EOMONTH(A929,0))</f>
      </c>
    </row>
    <row r="930">
      <c r="G930" s="13">
        <f>IF(A930="","",EOMONTH(A930,0))</f>
      </c>
    </row>
    <row r="931">
      <c r="G931" s="13">
        <f>IF(A931="","",EOMONTH(A931,0))</f>
      </c>
    </row>
    <row r="932">
      <c r="G932" s="13">
        <f>IF(A932="","",EOMONTH(A932,0))</f>
      </c>
    </row>
    <row r="933">
      <c r="G933" s="13">
        <f>IF(A933="","",EOMONTH(A933,0))</f>
      </c>
    </row>
    <row r="934">
      <c r="G934" s="13">
        <f>IF(A934="","",EOMONTH(A934,0))</f>
      </c>
    </row>
    <row r="935">
      <c r="G935" s="13">
        <f>IF(A935="","",EOMONTH(A935,0))</f>
      </c>
    </row>
    <row r="936">
      <c r="G936" s="13">
        <f>IF(A936="","",EOMONTH(A936,0))</f>
      </c>
    </row>
    <row r="937">
      <c r="G937" s="13">
        <f>IF(A937="","",EOMONTH(A937,0))</f>
      </c>
    </row>
    <row r="938">
      <c r="G938" s="13">
        <f>IF(A938="","",EOMONTH(A938,0))</f>
      </c>
    </row>
    <row r="939">
      <c r="G939" s="13">
        <f>IF(A939="","",EOMONTH(A939,0))</f>
      </c>
    </row>
    <row r="940">
      <c r="G940" s="13">
        <f>IF(A940="","",EOMONTH(A940,0))</f>
      </c>
    </row>
    <row r="941">
      <c r="G941" s="13">
        <f>IF(A941="","",EOMONTH(A941,0))</f>
      </c>
    </row>
    <row r="942">
      <c r="G942" s="13">
        <f>IF(A942="","",EOMONTH(A942,0))</f>
      </c>
    </row>
    <row r="943">
      <c r="G943" s="13">
        <f>IF(A943="","",EOMONTH(A943,0))</f>
      </c>
    </row>
    <row r="944">
      <c r="G944" s="13">
        <f>IF(A944="","",EOMONTH(A944,0))</f>
      </c>
    </row>
    <row r="945">
      <c r="G945" s="13">
        <f>IF(A945="","",EOMONTH(A945,0))</f>
      </c>
    </row>
    <row r="946">
      <c r="G946" s="13">
        <f>IF(A946="","",EOMONTH(A946,0))</f>
      </c>
    </row>
    <row r="947">
      <c r="G947" s="13">
        <f>IF(A947="","",EOMONTH(A947,0))</f>
      </c>
    </row>
    <row r="948">
      <c r="G948" s="13">
        <f>IF(A948="","",EOMONTH(A948,0))</f>
      </c>
    </row>
    <row r="949">
      <c r="G949" s="13">
        <f>IF(A949="","",EOMONTH(A949,0))</f>
      </c>
    </row>
    <row r="950">
      <c r="G950" s="13">
        <f>IF(A950="","",EOMONTH(A950,0))</f>
      </c>
    </row>
    <row r="951">
      <c r="G951" s="13">
        <f>IF(A951="","",EOMONTH(A951,0))</f>
      </c>
    </row>
    <row r="952">
      <c r="G952" s="13">
        <f>IF(A952="","",EOMONTH(A952,0))</f>
      </c>
    </row>
    <row r="953">
      <c r="G953" s="13">
        <f>IF(A953="","",EOMONTH(A953,0))</f>
      </c>
    </row>
    <row r="954">
      <c r="G954" s="13">
        <f>IF(A954="","",EOMONTH(A954,0))</f>
      </c>
    </row>
    <row r="955">
      <c r="G955" s="13">
        <f>IF(A955="","",EOMONTH(A955,0))</f>
      </c>
    </row>
    <row r="956">
      <c r="G956" s="13">
        <f>IF(A956="","",EOMONTH(A956,0))</f>
      </c>
    </row>
    <row r="957">
      <c r="G957" s="13">
        <f>IF(A957="","",EOMONTH(A957,0))</f>
      </c>
    </row>
    <row r="958">
      <c r="G958" s="13">
        <f>IF(A958="","",EOMONTH(A958,0))</f>
      </c>
    </row>
    <row r="959">
      <c r="G959" s="13">
        <f>IF(A959="","",EOMONTH(A959,0))</f>
      </c>
    </row>
    <row r="960">
      <c r="G960" s="13">
        <f>IF(A960="","",EOMONTH(A960,0))</f>
      </c>
    </row>
    <row r="961">
      <c r="G961" s="13">
        <f>IF(A961="","",EOMONTH(A961,0))</f>
      </c>
    </row>
    <row r="962">
      <c r="G962" s="13">
        <f>IF(A962="","",EOMONTH(A962,0))</f>
      </c>
    </row>
    <row r="963">
      <c r="G963" s="13">
        <f>IF(A963="","",EOMONTH(A963,0))</f>
      </c>
    </row>
    <row r="964">
      <c r="G964" s="13">
        <f>IF(A964="","",EOMONTH(A964,0))</f>
      </c>
    </row>
    <row r="965">
      <c r="G965" s="13">
        <f>IF(A965="","",EOMONTH(A965,0))</f>
      </c>
    </row>
    <row r="966">
      <c r="G966" s="13">
        <f>IF(A966="","",EOMONTH(A966,0))</f>
      </c>
    </row>
    <row r="967">
      <c r="G967" s="13">
        <f>IF(A967="","",EOMONTH(A967,0))</f>
      </c>
    </row>
    <row r="968">
      <c r="G968" s="13">
        <f>IF(A968="","",EOMONTH(A968,0))</f>
      </c>
    </row>
    <row r="969">
      <c r="G969" s="13">
        <f>IF(A969="","",EOMONTH(A969,0))</f>
      </c>
    </row>
    <row r="970">
      <c r="G970" s="13">
        <f>IF(A970="","",EOMONTH(A970,0))</f>
      </c>
    </row>
    <row r="971">
      <c r="G971" s="13">
        <f>IF(A971="","",EOMONTH(A971,0))</f>
      </c>
    </row>
    <row r="972">
      <c r="G972" s="13">
        <f>IF(A972="","",EOMONTH(A972,0))</f>
      </c>
    </row>
    <row r="973">
      <c r="G973" s="13">
        <f>IF(A973="","",EOMONTH(A973,0))</f>
      </c>
    </row>
    <row r="974">
      <c r="G974" s="13">
        <f>IF(A974="","",EOMONTH(A974,0))</f>
      </c>
    </row>
    <row r="975">
      <c r="G975" s="13">
        <f>IF(A975="","",EOMONTH(A975,0))</f>
      </c>
    </row>
    <row r="976">
      <c r="G976" s="13">
        <f>IF(A976="","",EOMONTH(A976,0))</f>
      </c>
    </row>
    <row r="977">
      <c r="G977" s="13">
        <f>IF(A977="","",EOMONTH(A977,0))</f>
      </c>
    </row>
    <row r="978">
      <c r="G978" s="13">
        <f>IF(A978="","",EOMONTH(A978,0))</f>
      </c>
    </row>
    <row r="979">
      <c r="G979" s="13">
        <f>IF(A979="","",EOMONTH(A979,0))</f>
      </c>
    </row>
    <row r="980">
      <c r="G980" s="13">
        <f>IF(A980="","",EOMONTH(A980,0))</f>
      </c>
    </row>
    <row r="981">
      <c r="G981" s="13">
        <f>IF(A981="","",EOMONTH(A981,0))</f>
      </c>
    </row>
    <row r="982">
      <c r="G982" s="13">
        <f>IF(A982="","",EOMONTH(A982,0))</f>
      </c>
    </row>
    <row r="983">
      <c r="G983" s="13">
        <f>IF(A983="","",EOMONTH(A983,0))</f>
      </c>
    </row>
    <row r="984">
      <c r="G984" s="13">
        <f>IF(A984="","",EOMONTH(A984,0))</f>
      </c>
    </row>
    <row r="985">
      <c r="G985" s="13">
        <f>IF(A985="","",EOMONTH(A985,0))</f>
      </c>
    </row>
    <row r="986">
      <c r="G986" s="13">
        <f>IF(A986="","",EOMONTH(A986,0))</f>
      </c>
    </row>
    <row r="987">
      <c r="G987" s="13">
        <f>IF(A987="","",EOMONTH(A987,0))</f>
      </c>
    </row>
    <row r="988">
      <c r="G988" s="13">
        <f>IF(A988="","",EOMONTH(A988,0))</f>
      </c>
    </row>
    <row r="989">
      <c r="G989" s="13">
        <f>IF(A989="","",EOMONTH(A989,0))</f>
      </c>
    </row>
    <row r="990">
      <c r="G990" s="13">
        <f>IF(A990="","",EOMONTH(A990,0))</f>
      </c>
    </row>
    <row r="991">
      <c r="G991" s="13">
        <f>IF(A991="","",EOMONTH(A991,0))</f>
      </c>
    </row>
    <row r="992">
      <c r="G992" s="13">
        <f>IF(A992="","",EOMONTH(A992,0))</f>
      </c>
    </row>
    <row r="993">
      <c r="G993" s="13">
        <f>IF(A993="","",EOMONTH(A993,0))</f>
      </c>
    </row>
    <row r="994">
      <c r="G994" s="13">
        <f>IF(A994="","",EOMONTH(A994,0))</f>
      </c>
    </row>
    <row r="995">
      <c r="G995" s="13">
        <f>IF(A995="","",EOMONTH(A995,0))</f>
      </c>
    </row>
    <row r="996">
      <c r="G996" s="13">
        <f>IF(A996="","",EOMONTH(A996,0))</f>
      </c>
    </row>
    <row r="997">
      <c r="G997" s="13">
        <f>IF(A997="","",EOMONTH(A997,0))</f>
      </c>
    </row>
    <row r="998">
      <c r="G998" s="13">
        <f>IF(A998="","",EOMONTH(A998,0))</f>
      </c>
    </row>
    <row r="999">
      <c r="G999" s="13">
        <f>IF(A999="","",EOMONTH(A999,0))</f>
      </c>
    </row>
    <row r="1000">
      <c r="G1000" s="13">
        <f>IF(A1000="","",EOMONTH(A1000,0))</f>
      </c>
    </row>
  </sheetData>
  <autoFilter ref="A1:H1000"/>
  <dataValidations count="4">
    <dataValidation type="date" allowBlank="1" showInputMessage="1" showErrorMessage="1" operator="between" sqref="A2:A1000">
      <formula1>36526</formula1>
      <formula2>73050</formula2>
    </dataValidation>
    <dataValidation type="list" allowBlank="1" showInputMessage="1" showErrorMessage="1" sqref="B2:B1000">
      <formula1>"Income,Expense"</formula1>
    </dataValidation>
    <dataValidation type="list" allowBlank="1" showInputMessage="1" showErrorMessage="1" sqref="C2:C1000">
      <formula1>Categories!$A$2:$A$30</formula1>
    </dataValidation>
    <dataValidation type="list" allowBlank="1" showInputMessage="1" showErrorMessage="1" sqref="F2:F1000">
      <formula1>"Cash,Check,Card,Zelle,Venmo,Square,Other"</formula1>
    </dataValidation>
  </dataValidations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10" customWidth="1"/>
    <col min="3" max="3" width="60" customWidth="1"/>
    <col min="5" max="5" width="30" customWidth="1"/>
    <col min="6" max="6" width="10" customWidth="1"/>
    <col min="7" max="7" width="55" customWidth="1"/>
  </cols>
  <sheetData>
    <row r="1">
      <c r="A1" s="2" t="inlineStr">
        <is>
          <t xml:space="preserve">Category</t>
        </is>
      </c>
      <c r="B1" s="2" t="inlineStr">
        <is>
          <t xml:space="preserve">Type</t>
        </is>
      </c>
      <c r="C1" s="2" t="inlineStr">
        <is>
          <t xml:space="preserve">What goes here</t>
        </is>
      </c>
    </row>
    <row r="2">
      <c r="A2" s="4" t="inlineStr">
        <is>
          <t xml:space="preserve">Cleaning revenue</t>
        </is>
      </c>
      <c r="B2" s="4" t="inlineStr">
        <is>
          <t xml:space="preserve">Income</t>
        </is>
      </c>
      <c r="C2" s="14" t="inlineStr">
        <is>
          <t xml:space="preserve">All service income</t>
        </is>
      </c>
      <c r="E2" s="3" t="inlineStr">
        <is>
          <t xml:space="preserve">IRS standard mileage rate ($/mile)</t>
        </is>
      </c>
      <c r="F2" s="5">
        <v>0.7</v>
      </c>
      <c r="G2" s="14" t="inlineStr">
        <is>
          <t xml:space="preserve">Update yearly — check the current IRS standard mileage rate each January and type it here. Recent years have been around $0.65–0.70/mile.</t>
        </is>
      </c>
    </row>
    <row r="3">
      <c r="A3" s="4" t="inlineStr">
        <is>
          <t xml:space="preserve">Product sales</t>
        </is>
      </c>
      <c r="B3" s="4" t="inlineStr">
        <is>
          <t xml:space="preserve">Income</t>
        </is>
      </c>
      <c r="C3" s="14" t="inlineStr">
        <is>
          <t xml:space="preserve">If you sell anything (rare, fine to ignore)</t>
        </is>
      </c>
    </row>
    <row r="4">
      <c r="A4" s="4" t="inlineStr">
        <is>
          <t xml:space="preserve">Other income</t>
        </is>
      </c>
      <c r="B4" s="4" t="inlineStr">
        <is>
          <t xml:space="preserve">Income</t>
        </is>
      </c>
      <c r="C4" s="14" t="inlineStr">
        <is>
          <t xml:space="preserve">Referral fees, rebates</t>
        </is>
      </c>
    </row>
    <row r="5">
      <c r="A5" s="4" t="inlineStr">
        <is>
          <t xml:space="preserve">Supplies</t>
        </is>
      </c>
      <c r="B5" s="4" t="inlineStr">
        <is>
          <t xml:space="preserve">Expense</t>
        </is>
      </c>
      <c r="C5" s="14" t="inlineStr">
        <is>
          <t xml:space="preserve">Chemicals, cloths, vacuum bags, mops — consumables</t>
        </is>
      </c>
    </row>
    <row r="6">
      <c r="A6" s="4" t="inlineStr">
        <is>
          <t xml:space="preserve">Equipment</t>
        </is>
      </c>
      <c r="B6" s="4" t="inlineStr">
        <is>
          <t xml:space="preserve">Expense</t>
        </is>
      </c>
      <c r="C6" s="14" t="inlineStr">
        <is>
          <t xml:space="preserve">Vacuums, machines; big purchases may be depreciated — ask your tax pro</t>
        </is>
      </c>
    </row>
    <row r="7">
      <c r="A7" s="4" t="inlineStr">
        <is>
          <t xml:space="preserve">Vehicle / Mileage</t>
        </is>
      </c>
      <c r="B7" s="4" t="inlineStr">
        <is>
          <t xml:space="preserve">Expense</t>
        </is>
      </c>
      <c r="C7" s="14" t="inlineStr">
        <is>
          <t xml:space="preserve">Log MILES in col H; dollar value computed at year level</t>
        </is>
      </c>
    </row>
    <row r="8">
      <c r="A8" s="4" t="inlineStr">
        <is>
          <t xml:space="preserve">Insurance</t>
        </is>
      </c>
      <c r="B8" s="4" t="inlineStr">
        <is>
          <t xml:space="preserve">Expense</t>
        </is>
      </c>
      <c r="C8" s="14" t="inlineStr">
        <is>
          <t xml:space="preserve">General liability, bonding</t>
        </is>
      </c>
    </row>
    <row r="9">
      <c r="A9" s="4" t="inlineStr">
        <is>
          <t xml:space="preserve">Advertising</t>
        </is>
      </c>
      <c r="B9" s="4" t="inlineStr">
        <is>
          <t xml:space="preserve">Expense</t>
        </is>
      </c>
      <c r="C9" s="14" t="inlineStr">
        <is>
          <t xml:space="preserve">Google/Facebook ads, flyers, car magnets, website</t>
        </is>
      </c>
    </row>
    <row r="10">
      <c r="A10" s="4" t="inlineStr">
        <is>
          <t xml:space="preserve">Phone &amp; Internet</t>
        </is>
      </c>
      <c r="B10" s="4" t="inlineStr">
        <is>
          <t xml:space="preserve">Expense</t>
        </is>
      </c>
      <c r="C10" s="14" t="inlineStr">
        <is>
          <t xml:space="preserve">Business-use share</t>
        </is>
      </c>
    </row>
    <row r="11">
      <c r="A11" s="4" t="inlineStr">
        <is>
          <t xml:space="preserve">Software &amp; Subscriptions</t>
        </is>
      </c>
      <c r="B11" s="4" t="inlineStr">
        <is>
          <t xml:space="preserve">Expense</t>
        </is>
      </c>
      <c r="C11" s="14" t="inlineStr">
        <is>
          <t xml:space="preserve">Scheduling app, accounting, this kit's future competitors</t>
        </is>
      </c>
    </row>
    <row r="12">
      <c r="A12" s="4" t="inlineStr">
        <is>
          <t xml:space="preserve">Licenses &amp; Permits</t>
        </is>
      </c>
      <c r="B12" s="4" t="inlineStr">
        <is>
          <t xml:space="preserve">Expense</t>
        </is>
      </c>
      <c r="C12" s="14" t="inlineStr">
        <is>
          <t xml:space="preserve">Business license, city registrations</t>
        </is>
      </c>
    </row>
    <row r="13">
      <c r="A13" s="4" t="inlineStr">
        <is>
          <t xml:space="preserve">Legal &amp; Professional</t>
        </is>
      </c>
      <c r="B13" s="4" t="inlineStr">
        <is>
          <t xml:space="preserve">Expense</t>
        </is>
      </c>
      <c r="C13" s="14" t="inlineStr">
        <is>
          <t xml:space="preserve">Tax prep, LLC filing help</t>
        </is>
      </c>
    </row>
    <row r="14">
      <c r="A14" s="4" t="inlineStr">
        <is>
          <t xml:space="preserve">Contract Labor</t>
        </is>
      </c>
      <c r="B14" s="4" t="inlineStr">
        <is>
          <t xml:space="preserve">Expense</t>
        </is>
      </c>
      <c r="C14" s="14" t="inlineStr">
        <is>
          <t xml:space="preserve">1099 help — talk to your tax pro before hiring</t>
        </is>
      </c>
    </row>
    <row r="15">
      <c r="A15" s="4" t="inlineStr">
        <is>
          <t xml:space="preserve">Bank &amp; Processing Fees</t>
        </is>
      </c>
      <c r="B15" s="4" t="inlineStr">
        <is>
          <t xml:space="preserve">Expense</t>
        </is>
      </c>
      <c r="C15" s="14" t="inlineStr">
        <is>
          <t xml:space="preserve">Square/Stripe fees, account fees</t>
        </is>
      </c>
    </row>
    <row r="16">
      <c r="A16" s="4" t="inlineStr">
        <is>
          <t xml:space="preserve">Uniforms &amp; Laundry</t>
        </is>
      </c>
      <c r="B16" s="4" t="inlineStr">
        <is>
          <t xml:space="preserve">Expense</t>
        </is>
      </c>
      <c r="C16" s="14" t="inlineStr">
        <is>
          <t xml:space="preserve">Branded shirts, shoe covers</t>
        </is>
      </c>
    </row>
    <row r="17">
      <c r="A17" s="4" t="inlineStr">
        <is>
          <t xml:space="preserve">Other expense</t>
        </is>
      </c>
      <c r="B17" s="4" t="inlineStr">
        <is>
          <t xml:space="preserve">Expense</t>
        </is>
      </c>
      <c r="C17" s="14" t="inlineStr">
        <is>
          <t xml:space="preserve">Anything that truly fits nowhere — keep this small</t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</cols>
  <sheetData>
    <row r="1">
      <c r="A1" s="2" t="inlineStr">
        <is>
          <t xml:space="preserve">Category</t>
        </is>
      </c>
      <c r="B1" s="16">
        <f>DATE(2026,1,31)</f>
      </c>
      <c r="C1" s="16">
        <f>EOMONTH(B1,1)</f>
      </c>
      <c r="D1" s="16">
        <f>EOMONTH(C1,1)</f>
      </c>
      <c r="E1" s="16">
        <f>EOMONTH(D1,1)</f>
      </c>
      <c r="F1" s="16">
        <f>EOMONTH(E1,1)</f>
      </c>
      <c r="G1" s="16">
        <f>EOMONTH(F1,1)</f>
      </c>
      <c r="H1" s="16">
        <f>EOMONTH(G1,1)</f>
      </c>
      <c r="I1" s="16">
        <f>EOMONTH(H1,1)</f>
      </c>
      <c r="J1" s="16">
        <f>EOMONTH(I1,1)</f>
      </c>
      <c r="K1" s="16">
        <f>EOMONTH(J1,1)</f>
      </c>
      <c r="L1" s="16">
        <f>EOMONTH(K1,1)</f>
      </c>
      <c r="M1" s="16">
        <f>EOMONTH(L1,1)</f>
      </c>
    </row>
    <row r="2">
      <c r="A2" s="3" t="inlineStr">
        <is>
          <t xml:space="preserve">INCOME</t>
        </is>
      </c>
    </row>
    <row r="3">
      <c r="A3" s="9">
        <f>Categories!A2</f>
      </c>
      <c r="B3" s="11">
        <f>SUMIFS(Entries!$E$2:$E$1000,Entries!$C$2:$C$1000,$A3,Entries!$G$2:$G$1000,B$1)</f>
      </c>
      <c r="C3" s="11">
        <f>SUMIFS(Entries!$E$2:$E$1000,Entries!$C$2:$C$1000,$A3,Entries!$G$2:$G$1000,C$1)</f>
      </c>
      <c r="D3" s="11">
        <f>SUMIFS(Entries!$E$2:$E$1000,Entries!$C$2:$C$1000,$A3,Entries!$G$2:$G$1000,D$1)</f>
      </c>
      <c r="E3" s="11">
        <f>SUMIFS(Entries!$E$2:$E$1000,Entries!$C$2:$C$1000,$A3,Entries!$G$2:$G$1000,E$1)</f>
      </c>
      <c r="F3" s="11">
        <f>SUMIFS(Entries!$E$2:$E$1000,Entries!$C$2:$C$1000,$A3,Entries!$G$2:$G$1000,F$1)</f>
      </c>
      <c r="G3" s="11">
        <f>SUMIFS(Entries!$E$2:$E$1000,Entries!$C$2:$C$1000,$A3,Entries!$G$2:$G$1000,G$1)</f>
      </c>
      <c r="H3" s="11">
        <f>SUMIFS(Entries!$E$2:$E$1000,Entries!$C$2:$C$1000,$A3,Entries!$G$2:$G$1000,H$1)</f>
      </c>
      <c r="I3" s="11">
        <f>SUMIFS(Entries!$E$2:$E$1000,Entries!$C$2:$C$1000,$A3,Entries!$G$2:$G$1000,I$1)</f>
      </c>
      <c r="J3" s="11">
        <f>SUMIFS(Entries!$E$2:$E$1000,Entries!$C$2:$C$1000,$A3,Entries!$G$2:$G$1000,J$1)</f>
      </c>
      <c r="K3" s="11">
        <f>SUMIFS(Entries!$E$2:$E$1000,Entries!$C$2:$C$1000,$A3,Entries!$G$2:$G$1000,K$1)</f>
      </c>
      <c r="L3" s="11">
        <f>SUMIFS(Entries!$E$2:$E$1000,Entries!$C$2:$C$1000,$A3,Entries!$G$2:$G$1000,L$1)</f>
      </c>
      <c r="M3" s="11">
        <f>SUMIFS(Entries!$E$2:$E$1000,Entries!$C$2:$C$1000,$A3,Entries!$G$2:$G$1000,M$1)</f>
      </c>
    </row>
    <row r="4">
      <c r="A4" s="9">
        <f>Categories!A3</f>
      </c>
      <c r="B4" s="11">
        <f>SUMIFS(Entries!$E$2:$E$1000,Entries!$C$2:$C$1000,$A4,Entries!$G$2:$G$1000,B$1)</f>
      </c>
      <c r="C4" s="11">
        <f>SUMIFS(Entries!$E$2:$E$1000,Entries!$C$2:$C$1000,$A4,Entries!$G$2:$G$1000,C$1)</f>
      </c>
      <c r="D4" s="11">
        <f>SUMIFS(Entries!$E$2:$E$1000,Entries!$C$2:$C$1000,$A4,Entries!$G$2:$G$1000,D$1)</f>
      </c>
      <c r="E4" s="11">
        <f>SUMIFS(Entries!$E$2:$E$1000,Entries!$C$2:$C$1000,$A4,Entries!$G$2:$G$1000,E$1)</f>
      </c>
      <c r="F4" s="11">
        <f>SUMIFS(Entries!$E$2:$E$1000,Entries!$C$2:$C$1000,$A4,Entries!$G$2:$G$1000,F$1)</f>
      </c>
      <c r="G4" s="11">
        <f>SUMIFS(Entries!$E$2:$E$1000,Entries!$C$2:$C$1000,$A4,Entries!$G$2:$G$1000,G$1)</f>
      </c>
      <c r="H4" s="11">
        <f>SUMIFS(Entries!$E$2:$E$1000,Entries!$C$2:$C$1000,$A4,Entries!$G$2:$G$1000,H$1)</f>
      </c>
      <c r="I4" s="11">
        <f>SUMIFS(Entries!$E$2:$E$1000,Entries!$C$2:$C$1000,$A4,Entries!$G$2:$G$1000,I$1)</f>
      </c>
      <c r="J4" s="11">
        <f>SUMIFS(Entries!$E$2:$E$1000,Entries!$C$2:$C$1000,$A4,Entries!$G$2:$G$1000,J$1)</f>
      </c>
      <c r="K4" s="11">
        <f>SUMIFS(Entries!$E$2:$E$1000,Entries!$C$2:$C$1000,$A4,Entries!$G$2:$G$1000,K$1)</f>
      </c>
      <c r="L4" s="11">
        <f>SUMIFS(Entries!$E$2:$E$1000,Entries!$C$2:$C$1000,$A4,Entries!$G$2:$G$1000,L$1)</f>
      </c>
      <c r="M4" s="11">
        <f>SUMIFS(Entries!$E$2:$E$1000,Entries!$C$2:$C$1000,$A4,Entries!$G$2:$G$1000,M$1)</f>
      </c>
    </row>
    <row r="5">
      <c r="A5" s="9">
        <f>Categories!A4</f>
      </c>
      <c r="B5" s="11">
        <f>SUMIFS(Entries!$E$2:$E$1000,Entries!$C$2:$C$1000,$A5,Entries!$G$2:$G$1000,B$1)</f>
      </c>
      <c r="C5" s="11">
        <f>SUMIFS(Entries!$E$2:$E$1000,Entries!$C$2:$C$1000,$A5,Entries!$G$2:$G$1000,C$1)</f>
      </c>
      <c r="D5" s="11">
        <f>SUMIFS(Entries!$E$2:$E$1000,Entries!$C$2:$C$1000,$A5,Entries!$G$2:$G$1000,D$1)</f>
      </c>
      <c r="E5" s="11">
        <f>SUMIFS(Entries!$E$2:$E$1000,Entries!$C$2:$C$1000,$A5,Entries!$G$2:$G$1000,E$1)</f>
      </c>
      <c r="F5" s="11">
        <f>SUMIFS(Entries!$E$2:$E$1000,Entries!$C$2:$C$1000,$A5,Entries!$G$2:$G$1000,F$1)</f>
      </c>
      <c r="G5" s="11">
        <f>SUMIFS(Entries!$E$2:$E$1000,Entries!$C$2:$C$1000,$A5,Entries!$G$2:$G$1000,G$1)</f>
      </c>
      <c r="H5" s="11">
        <f>SUMIFS(Entries!$E$2:$E$1000,Entries!$C$2:$C$1000,$A5,Entries!$G$2:$G$1000,H$1)</f>
      </c>
      <c r="I5" s="11">
        <f>SUMIFS(Entries!$E$2:$E$1000,Entries!$C$2:$C$1000,$A5,Entries!$G$2:$G$1000,I$1)</f>
      </c>
      <c r="J5" s="11">
        <f>SUMIFS(Entries!$E$2:$E$1000,Entries!$C$2:$C$1000,$A5,Entries!$G$2:$G$1000,J$1)</f>
      </c>
      <c r="K5" s="11">
        <f>SUMIFS(Entries!$E$2:$E$1000,Entries!$C$2:$C$1000,$A5,Entries!$G$2:$G$1000,K$1)</f>
      </c>
      <c r="L5" s="11">
        <f>SUMIFS(Entries!$E$2:$E$1000,Entries!$C$2:$C$1000,$A5,Entries!$G$2:$G$1000,L$1)</f>
      </c>
      <c r="M5" s="11">
        <f>SUMIFS(Entries!$E$2:$E$1000,Entries!$C$2:$C$1000,$A5,Entries!$G$2:$G$1000,M$1)</f>
      </c>
    </row>
    <row r="6">
      <c r="A6" s="3" t="inlineStr">
        <is>
          <t xml:space="preserve">Total Income</t>
        </is>
      </c>
      <c r="B6" s="11">
        <f>SUM(B3:B5)</f>
      </c>
      <c r="C6" s="11">
        <f>SUM(C3:C5)</f>
      </c>
      <c r="D6" s="11">
        <f>SUM(D3:D5)</f>
      </c>
      <c r="E6" s="11">
        <f>SUM(E3:E5)</f>
      </c>
      <c r="F6" s="11">
        <f>SUM(F3:F5)</f>
      </c>
      <c r="G6" s="11">
        <f>SUM(G3:G5)</f>
      </c>
      <c r="H6" s="11">
        <f>SUM(H3:H5)</f>
      </c>
      <c r="I6" s="11">
        <f>SUM(I3:I5)</f>
      </c>
      <c r="J6" s="11">
        <f>SUM(J3:J5)</f>
      </c>
      <c r="K6" s="11">
        <f>SUM(K3:K5)</f>
      </c>
      <c r="L6" s="11">
        <f>SUM(L3:L5)</f>
      </c>
      <c r="M6" s="11">
        <f>SUM(M3:M5)</f>
      </c>
    </row>
    <row r="8">
      <c r="A8" s="3" t="inlineStr">
        <is>
          <t xml:space="preserve">EXPENSES</t>
        </is>
      </c>
    </row>
    <row r="9">
      <c r="A9" s="9">
        <f>Categories!A5</f>
      </c>
      <c r="B9" s="11">
        <f>SUMIFS(Entries!$E$2:$E$1000,Entries!$C$2:$C$1000,$A9,Entries!$G$2:$G$1000,B$1)</f>
      </c>
      <c r="C9" s="11">
        <f>SUMIFS(Entries!$E$2:$E$1000,Entries!$C$2:$C$1000,$A9,Entries!$G$2:$G$1000,C$1)</f>
      </c>
      <c r="D9" s="11">
        <f>SUMIFS(Entries!$E$2:$E$1000,Entries!$C$2:$C$1000,$A9,Entries!$G$2:$G$1000,D$1)</f>
      </c>
      <c r="E9" s="11">
        <f>SUMIFS(Entries!$E$2:$E$1000,Entries!$C$2:$C$1000,$A9,Entries!$G$2:$G$1000,E$1)</f>
      </c>
      <c r="F9" s="11">
        <f>SUMIFS(Entries!$E$2:$E$1000,Entries!$C$2:$C$1000,$A9,Entries!$G$2:$G$1000,F$1)</f>
      </c>
      <c r="G9" s="11">
        <f>SUMIFS(Entries!$E$2:$E$1000,Entries!$C$2:$C$1000,$A9,Entries!$G$2:$G$1000,G$1)</f>
      </c>
      <c r="H9" s="11">
        <f>SUMIFS(Entries!$E$2:$E$1000,Entries!$C$2:$C$1000,$A9,Entries!$G$2:$G$1000,H$1)</f>
      </c>
      <c r="I9" s="11">
        <f>SUMIFS(Entries!$E$2:$E$1000,Entries!$C$2:$C$1000,$A9,Entries!$G$2:$G$1000,I$1)</f>
      </c>
      <c r="J9" s="11">
        <f>SUMIFS(Entries!$E$2:$E$1000,Entries!$C$2:$C$1000,$A9,Entries!$G$2:$G$1000,J$1)</f>
      </c>
      <c r="K9" s="11">
        <f>SUMIFS(Entries!$E$2:$E$1000,Entries!$C$2:$C$1000,$A9,Entries!$G$2:$G$1000,K$1)</f>
      </c>
      <c r="L9" s="11">
        <f>SUMIFS(Entries!$E$2:$E$1000,Entries!$C$2:$C$1000,$A9,Entries!$G$2:$G$1000,L$1)</f>
      </c>
      <c r="M9" s="11">
        <f>SUMIFS(Entries!$E$2:$E$1000,Entries!$C$2:$C$1000,$A9,Entries!$G$2:$G$1000,M$1)</f>
      </c>
    </row>
    <row r="10">
      <c r="A10" s="9">
        <f>Categories!A6</f>
      </c>
      <c r="B10" s="11">
        <f>SUMIFS(Entries!$E$2:$E$1000,Entries!$C$2:$C$1000,$A10,Entries!$G$2:$G$1000,B$1)</f>
      </c>
      <c r="C10" s="11">
        <f>SUMIFS(Entries!$E$2:$E$1000,Entries!$C$2:$C$1000,$A10,Entries!$G$2:$G$1000,C$1)</f>
      </c>
      <c r="D10" s="11">
        <f>SUMIFS(Entries!$E$2:$E$1000,Entries!$C$2:$C$1000,$A10,Entries!$G$2:$G$1000,D$1)</f>
      </c>
      <c r="E10" s="11">
        <f>SUMIFS(Entries!$E$2:$E$1000,Entries!$C$2:$C$1000,$A10,Entries!$G$2:$G$1000,E$1)</f>
      </c>
      <c r="F10" s="11">
        <f>SUMIFS(Entries!$E$2:$E$1000,Entries!$C$2:$C$1000,$A10,Entries!$G$2:$G$1000,F$1)</f>
      </c>
      <c r="G10" s="11">
        <f>SUMIFS(Entries!$E$2:$E$1000,Entries!$C$2:$C$1000,$A10,Entries!$G$2:$G$1000,G$1)</f>
      </c>
      <c r="H10" s="11">
        <f>SUMIFS(Entries!$E$2:$E$1000,Entries!$C$2:$C$1000,$A10,Entries!$G$2:$G$1000,H$1)</f>
      </c>
      <c r="I10" s="11">
        <f>SUMIFS(Entries!$E$2:$E$1000,Entries!$C$2:$C$1000,$A10,Entries!$G$2:$G$1000,I$1)</f>
      </c>
      <c r="J10" s="11">
        <f>SUMIFS(Entries!$E$2:$E$1000,Entries!$C$2:$C$1000,$A10,Entries!$G$2:$G$1000,J$1)</f>
      </c>
      <c r="K10" s="11">
        <f>SUMIFS(Entries!$E$2:$E$1000,Entries!$C$2:$C$1000,$A10,Entries!$G$2:$G$1000,K$1)</f>
      </c>
      <c r="L10" s="11">
        <f>SUMIFS(Entries!$E$2:$E$1000,Entries!$C$2:$C$1000,$A10,Entries!$G$2:$G$1000,L$1)</f>
      </c>
      <c r="M10" s="11">
        <f>SUMIFS(Entries!$E$2:$E$1000,Entries!$C$2:$C$1000,$A10,Entries!$G$2:$G$1000,M$1)</f>
      </c>
    </row>
    <row r="11">
      <c r="A11" s="9">
        <f>Categories!A7</f>
      </c>
      <c r="B11" s="11">
        <f>SUMIFS(Entries!$E$2:$E$1000,Entries!$C$2:$C$1000,$A11,Entries!$G$2:$G$1000,B$1)</f>
      </c>
      <c r="C11" s="11">
        <f>SUMIFS(Entries!$E$2:$E$1000,Entries!$C$2:$C$1000,$A11,Entries!$G$2:$G$1000,C$1)</f>
      </c>
      <c r="D11" s="11">
        <f>SUMIFS(Entries!$E$2:$E$1000,Entries!$C$2:$C$1000,$A11,Entries!$G$2:$G$1000,D$1)</f>
      </c>
      <c r="E11" s="11">
        <f>SUMIFS(Entries!$E$2:$E$1000,Entries!$C$2:$C$1000,$A11,Entries!$G$2:$G$1000,E$1)</f>
      </c>
      <c r="F11" s="11">
        <f>SUMIFS(Entries!$E$2:$E$1000,Entries!$C$2:$C$1000,$A11,Entries!$G$2:$G$1000,F$1)</f>
      </c>
      <c r="G11" s="11">
        <f>SUMIFS(Entries!$E$2:$E$1000,Entries!$C$2:$C$1000,$A11,Entries!$G$2:$G$1000,G$1)</f>
      </c>
      <c r="H11" s="11">
        <f>SUMIFS(Entries!$E$2:$E$1000,Entries!$C$2:$C$1000,$A11,Entries!$G$2:$G$1000,H$1)</f>
      </c>
      <c r="I11" s="11">
        <f>SUMIFS(Entries!$E$2:$E$1000,Entries!$C$2:$C$1000,$A11,Entries!$G$2:$G$1000,I$1)</f>
      </c>
      <c r="J11" s="11">
        <f>SUMIFS(Entries!$E$2:$E$1000,Entries!$C$2:$C$1000,$A11,Entries!$G$2:$G$1000,J$1)</f>
      </c>
      <c r="K11" s="11">
        <f>SUMIFS(Entries!$E$2:$E$1000,Entries!$C$2:$C$1000,$A11,Entries!$G$2:$G$1000,K$1)</f>
      </c>
      <c r="L11" s="11">
        <f>SUMIFS(Entries!$E$2:$E$1000,Entries!$C$2:$C$1000,$A11,Entries!$G$2:$G$1000,L$1)</f>
      </c>
      <c r="M11" s="11">
        <f>SUMIFS(Entries!$E$2:$E$1000,Entries!$C$2:$C$1000,$A11,Entries!$G$2:$G$1000,M$1)</f>
      </c>
    </row>
    <row r="12">
      <c r="A12" s="9">
        <f>Categories!A8</f>
      </c>
      <c r="B12" s="11">
        <f>SUMIFS(Entries!$E$2:$E$1000,Entries!$C$2:$C$1000,$A12,Entries!$G$2:$G$1000,B$1)</f>
      </c>
      <c r="C12" s="11">
        <f>SUMIFS(Entries!$E$2:$E$1000,Entries!$C$2:$C$1000,$A12,Entries!$G$2:$G$1000,C$1)</f>
      </c>
      <c r="D12" s="11">
        <f>SUMIFS(Entries!$E$2:$E$1000,Entries!$C$2:$C$1000,$A12,Entries!$G$2:$G$1000,D$1)</f>
      </c>
      <c r="E12" s="11">
        <f>SUMIFS(Entries!$E$2:$E$1000,Entries!$C$2:$C$1000,$A12,Entries!$G$2:$G$1000,E$1)</f>
      </c>
      <c r="F12" s="11">
        <f>SUMIFS(Entries!$E$2:$E$1000,Entries!$C$2:$C$1000,$A12,Entries!$G$2:$G$1000,F$1)</f>
      </c>
      <c r="G12" s="11">
        <f>SUMIFS(Entries!$E$2:$E$1000,Entries!$C$2:$C$1000,$A12,Entries!$G$2:$G$1000,G$1)</f>
      </c>
      <c r="H12" s="11">
        <f>SUMIFS(Entries!$E$2:$E$1000,Entries!$C$2:$C$1000,$A12,Entries!$G$2:$G$1000,H$1)</f>
      </c>
      <c r="I12" s="11">
        <f>SUMIFS(Entries!$E$2:$E$1000,Entries!$C$2:$C$1000,$A12,Entries!$G$2:$G$1000,I$1)</f>
      </c>
      <c r="J12" s="11">
        <f>SUMIFS(Entries!$E$2:$E$1000,Entries!$C$2:$C$1000,$A12,Entries!$G$2:$G$1000,J$1)</f>
      </c>
      <c r="K12" s="11">
        <f>SUMIFS(Entries!$E$2:$E$1000,Entries!$C$2:$C$1000,$A12,Entries!$G$2:$G$1000,K$1)</f>
      </c>
      <c r="L12" s="11">
        <f>SUMIFS(Entries!$E$2:$E$1000,Entries!$C$2:$C$1000,$A12,Entries!$G$2:$G$1000,L$1)</f>
      </c>
      <c r="M12" s="11">
        <f>SUMIFS(Entries!$E$2:$E$1000,Entries!$C$2:$C$1000,$A12,Entries!$G$2:$G$1000,M$1)</f>
      </c>
    </row>
    <row r="13">
      <c r="A13" s="9">
        <f>Categories!A9</f>
      </c>
      <c r="B13" s="11">
        <f>SUMIFS(Entries!$E$2:$E$1000,Entries!$C$2:$C$1000,$A13,Entries!$G$2:$G$1000,B$1)</f>
      </c>
      <c r="C13" s="11">
        <f>SUMIFS(Entries!$E$2:$E$1000,Entries!$C$2:$C$1000,$A13,Entries!$G$2:$G$1000,C$1)</f>
      </c>
      <c r="D13" s="11">
        <f>SUMIFS(Entries!$E$2:$E$1000,Entries!$C$2:$C$1000,$A13,Entries!$G$2:$G$1000,D$1)</f>
      </c>
      <c r="E13" s="11">
        <f>SUMIFS(Entries!$E$2:$E$1000,Entries!$C$2:$C$1000,$A13,Entries!$G$2:$G$1000,E$1)</f>
      </c>
      <c r="F13" s="11">
        <f>SUMIFS(Entries!$E$2:$E$1000,Entries!$C$2:$C$1000,$A13,Entries!$G$2:$G$1000,F$1)</f>
      </c>
      <c r="G13" s="11">
        <f>SUMIFS(Entries!$E$2:$E$1000,Entries!$C$2:$C$1000,$A13,Entries!$G$2:$G$1000,G$1)</f>
      </c>
      <c r="H13" s="11">
        <f>SUMIFS(Entries!$E$2:$E$1000,Entries!$C$2:$C$1000,$A13,Entries!$G$2:$G$1000,H$1)</f>
      </c>
      <c r="I13" s="11">
        <f>SUMIFS(Entries!$E$2:$E$1000,Entries!$C$2:$C$1000,$A13,Entries!$G$2:$G$1000,I$1)</f>
      </c>
      <c r="J13" s="11">
        <f>SUMIFS(Entries!$E$2:$E$1000,Entries!$C$2:$C$1000,$A13,Entries!$G$2:$G$1000,J$1)</f>
      </c>
      <c r="K13" s="11">
        <f>SUMIFS(Entries!$E$2:$E$1000,Entries!$C$2:$C$1000,$A13,Entries!$G$2:$G$1000,K$1)</f>
      </c>
      <c r="L13" s="11">
        <f>SUMIFS(Entries!$E$2:$E$1000,Entries!$C$2:$C$1000,$A13,Entries!$G$2:$G$1000,L$1)</f>
      </c>
      <c r="M13" s="11">
        <f>SUMIFS(Entries!$E$2:$E$1000,Entries!$C$2:$C$1000,$A13,Entries!$G$2:$G$1000,M$1)</f>
      </c>
    </row>
    <row r="14">
      <c r="A14" s="9">
        <f>Categories!A10</f>
      </c>
      <c r="B14" s="11">
        <f>SUMIFS(Entries!$E$2:$E$1000,Entries!$C$2:$C$1000,$A14,Entries!$G$2:$G$1000,B$1)</f>
      </c>
      <c r="C14" s="11">
        <f>SUMIFS(Entries!$E$2:$E$1000,Entries!$C$2:$C$1000,$A14,Entries!$G$2:$G$1000,C$1)</f>
      </c>
      <c r="D14" s="11">
        <f>SUMIFS(Entries!$E$2:$E$1000,Entries!$C$2:$C$1000,$A14,Entries!$G$2:$G$1000,D$1)</f>
      </c>
      <c r="E14" s="11">
        <f>SUMIFS(Entries!$E$2:$E$1000,Entries!$C$2:$C$1000,$A14,Entries!$G$2:$G$1000,E$1)</f>
      </c>
      <c r="F14" s="11">
        <f>SUMIFS(Entries!$E$2:$E$1000,Entries!$C$2:$C$1000,$A14,Entries!$G$2:$G$1000,F$1)</f>
      </c>
      <c r="G14" s="11">
        <f>SUMIFS(Entries!$E$2:$E$1000,Entries!$C$2:$C$1000,$A14,Entries!$G$2:$G$1000,G$1)</f>
      </c>
      <c r="H14" s="11">
        <f>SUMIFS(Entries!$E$2:$E$1000,Entries!$C$2:$C$1000,$A14,Entries!$G$2:$G$1000,H$1)</f>
      </c>
      <c r="I14" s="11">
        <f>SUMIFS(Entries!$E$2:$E$1000,Entries!$C$2:$C$1000,$A14,Entries!$G$2:$G$1000,I$1)</f>
      </c>
      <c r="J14" s="11">
        <f>SUMIFS(Entries!$E$2:$E$1000,Entries!$C$2:$C$1000,$A14,Entries!$G$2:$G$1000,J$1)</f>
      </c>
      <c r="K14" s="11">
        <f>SUMIFS(Entries!$E$2:$E$1000,Entries!$C$2:$C$1000,$A14,Entries!$G$2:$G$1000,K$1)</f>
      </c>
      <c r="L14" s="11">
        <f>SUMIFS(Entries!$E$2:$E$1000,Entries!$C$2:$C$1000,$A14,Entries!$G$2:$G$1000,L$1)</f>
      </c>
      <c r="M14" s="11">
        <f>SUMIFS(Entries!$E$2:$E$1000,Entries!$C$2:$C$1000,$A14,Entries!$G$2:$G$1000,M$1)</f>
      </c>
    </row>
    <row r="15">
      <c r="A15" s="9">
        <f>Categories!A11</f>
      </c>
      <c r="B15" s="11">
        <f>SUMIFS(Entries!$E$2:$E$1000,Entries!$C$2:$C$1000,$A15,Entries!$G$2:$G$1000,B$1)</f>
      </c>
      <c r="C15" s="11">
        <f>SUMIFS(Entries!$E$2:$E$1000,Entries!$C$2:$C$1000,$A15,Entries!$G$2:$G$1000,C$1)</f>
      </c>
      <c r="D15" s="11">
        <f>SUMIFS(Entries!$E$2:$E$1000,Entries!$C$2:$C$1000,$A15,Entries!$G$2:$G$1000,D$1)</f>
      </c>
      <c r="E15" s="11">
        <f>SUMIFS(Entries!$E$2:$E$1000,Entries!$C$2:$C$1000,$A15,Entries!$G$2:$G$1000,E$1)</f>
      </c>
      <c r="F15" s="11">
        <f>SUMIFS(Entries!$E$2:$E$1000,Entries!$C$2:$C$1000,$A15,Entries!$G$2:$G$1000,F$1)</f>
      </c>
      <c r="G15" s="11">
        <f>SUMIFS(Entries!$E$2:$E$1000,Entries!$C$2:$C$1000,$A15,Entries!$G$2:$G$1000,G$1)</f>
      </c>
      <c r="H15" s="11">
        <f>SUMIFS(Entries!$E$2:$E$1000,Entries!$C$2:$C$1000,$A15,Entries!$G$2:$G$1000,H$1)</f>
      </c>
      <c r="I15" s="11">
        <f>SUMIFS(Entries!$E$2:$E$1000,Entries!$C$2:$C$1000,$A15,Entries!$G$2:$G$1000,I$1)</f>
      </c>
      <c r="J15" s="11">
        <f>SUMIFS(Entries!$E$2:$E$1000,Entries!$C$2:$C$1000,$A15,Entries!$G$2:$G$1000,J$1)</f>
      </c>
      <c r="K15" s="11">
        <f>SUMIFS(Entries!$E$2:$E$1000,Entries!$C$2:$C$1000,$A15,Entries!$G$2:$G$1000,K$1)</f>
      </c>
      <c r="L15" s="11">
        <f>SUMIFS(Entries!$E$2:$E$1000,Entries!$C$2:$C$1000,$A15,Entries!$G$2:$G$1000,L$1)</f>
      </c>
      <c r="M15" s="11">
        <f>SUMIFS(Entries!$E$2:$E$1000,Entries!$C$2:$C$1000,$A15,Entries!$G$2:$G$1000,M$1)</f>
      </c>
    </row>
    <row r="16">
      <c r="A16" s="9">
        <f>Categories!A12</f>
      </c>
      <c r="B16" s="11">
        <f>SUMIFS(Entries!$E$2:$E$1000,Entries!$C$2:$C$1000,$A16,Entries!$G$2:$G$1000,B$1)</f>
      </c>
      <c r="C16" s="11">
        <f>SUMIFS(Entries!$E$2:$E$1000,Entries!$C$2:$C$1000,$A16,Entries!$G$2:$G$1000,C$1)</f>
      </c>
      <c r="D16" s="11">
        <f>SUMIFS(Entries!$E$2:$E$1000,Entries!$C$2:$C$1000,$A16,Entries!$G$2:$G$1000,D$1)</f>
      </c>
      <c r="E16" s="11">
        <f>SUMIFS(Entries!$E$2:$E$1000,Entries!$C$2:$C$1000,$A16,Entries!$G$2:$G$1000,E$1)</f>
      </c>
      <c r="F16" s="11">
        <f>SUMIFS(Entries!$E$2:$E$1000,Entries!$C$2:$C$1000,$A16,Entries!$G$2:$G$1000,F$1)</f>
      </c>
      <c r="G16" s="11">
        <f>SUMIFS(Entries!$E$2:$E$1000,Entries!$C$2:$C$1000,$A16,Entries!$G$2:$G$1000,G$1)</f>
      </c>
      <c r="H16" s="11">
        <f>SUMIFS(Entries!$E$2:$E$1000,Entries!$C$2:$C$1000,$A16,Entries!$G$2:$G$1000,H$1)</f>
      </c>
      <c r="I16" s="11">
        <f>SUMIFS(Entries!$E$2:$E$1000,Entries!$C$2:$C$1000,$A16,Entries!$G$2:$G$1000,I$1)</f>
      </c>
      <c r="J16" s="11">
        <f>SUMIFS(Entries!$E$2:$E$1000,Entries!$C$2:$C$1000,$A16,Entries!$G$2:$G$1000,J$1)</f>
      </c>
      <c r="K16" s="11">
        <f>SUMIFS(Entries!$E$2:$E$1000,Entries!$C$2:$C$1000,$A16,Entries!$G$2:$G$1000,K$1)</f>
      </c>
      <c r="L16" s="11">
        <f>SUMIFS(Entries!$E$2:$E$1000,Entries!$C$2:$C$1000,$A16,Entries!$G$2:$G$1000,L$1)</f>
      </c>
      <c r="M16" s="11">
        <f>SUMIFS(Entries!$E$2:$E$1000,Entries!$C$2:$C$1000,$A16,Entries!$G$2:$G$1000,M$1)</f>
      </c>
    </row>
    <row r="17">
      <c r="A17" s="9">
        <f>Categories!A13</f>
      </c>
      <c r="B17" s="11">
        <f>SUMIFS(Entries!$E$2:$E$1000,Entries!$C$2:$C$1000,$A17,Entries!$G$2:$G$1000,B$1)</f>
      </c>
      <c r="C17" s="11">
        <f>SUMIFS(Entries!$E$2:$E$1000,Entries!$C$2:$C$1000,$A17,Entries!$G$2:$G$1000,C$1)</f>
      </c>
      <c r="D17" s="11">
        <f>SUMIFS(Entries!$E$2:$E$1000,Entries!$C$2:$C$1000,$A17,Entries!$G$2:$G$1000,D$1)</f>
      </c>
      <c r="E17" s="11">
        <f>SUMIFS(Entries!$E$2:$E$1000,Entries!$C$2:$C$1000,$A17,Entries!$G$2:$G$1000,E$1)</f>
      </c>
      <c r="F17" s="11">
        <f>SUMIFS(Entries!$E$2:$E$1000,Entries!$C$2:$C$1000,$A17,Entries!$G$2:$G$1000,F$1)</f>
      </c>
      <c r="G17" s="11">
        <f>SUMIFS(Entries!$E$2:$E$1000,Entries!$C$2:$C$1000,$A17,Entries!$G$2:$G$1000,G$1)</f>
      </c>
      <c r="H17" s="11">
        <f>SUMIFS(Entries!$E$2:$E$1000,Entries!$C$2:$C$1000,$A17,Entries!$G$2:$G$1000,H$1)</f>
      </c>
      <c r="I17" s="11">
        <f>SUMIFS(Entries!$E$2:$E$1000,Entries!$C$2:$C$1000,$A17,Entries!$G$2:$G$1000,I$1)</f>
      </c>
      <c r="J17" s="11">
        <f>SUMIFS(Entries!$E$2:$E$1000,Entries!$C$2:$C$1000,$A17,Entries!$G$2:$G$1000,J$1)</f>
      </c>
      <c r="K17" s="11">
        <f>SUMIFS(Entries!$E$2:$E$1000,Entries!$C$2:$C$1000,$A17,Entries!$G$2:$G$1000,K$1)</f>
      </c>
      <c r="L17" s="11">
        <f>SUMIFS(Entries!$E$2:$E$1000,Entries!$C$2:$C$1000,$A17,Entries!$G$2:$G$1000,L$1)</f>
      </c>
      <c r="M17" s="11">
        <f>SUMIFS(Entries!$E$2:$E$1000,Entries!$C$2:$C$1000,$A17,Entries!$G$2:$G$1000,M$1)</f>
      </c>
    </row>
    <row r="18">
      <c r="A18" s="9">
        <f>Categories!A14</f>
      </c>
      <c r="B18" s="11">
        <f>SUMIFS(Entries!$E$2:$E$1000,Entries!$C$2:$C$1000,$A18,Entries!$G$2:$G$1000,B$1)</f>
      </c>
      <c r="C18" s="11">
        <f>SUMIFS(Entries!$E$2:$E$1000,Entries!$C$2:$C$1000,$A18,Entries!$G$2:$G$1000,C$1)</f>
      </c>
      <c r="D18" s="11">
        <f>SUMIFS(Entries!$E$2:$E$1000,Entries!$C$2:$C$1000,$A18,Entries!$G$2:$G$1000,D$1)</f>
      </c>
      <c r="E18" s="11">
        <f>SUMIFS(Entries!$E$2:$E$1000,Entries!$C$2:$C$1000,$A18,Entries!$G$2:$G$1000,E$1)</f>
      </c>
      <c r="F18" s="11">
        <f>SUMIFS(Entries!$E$2:$E$1000,Entries!$C$2:$C$1000,$A18,Entries!$G$2:$G$1000,F$1)</f>
      </c>
      <c r="G18" s="11">
        <f>SUMIFS(Entries!$E$2:$E$1000,Entries!$C$2:$C$1000,$A18,Entries!$G$2:$G$1000,G$1)</f>
      </c>
      <c r="H18" s="11">
        <f>SUMIFS(Entries!$E$2:$E$1000,Entries!$C$2:$C$1000,$A18,Entries!$G$2:$G$1000,H$1)</f>
      </c>
      <c r="I18" s="11">
        <f>SUMIFS(Entries!$E$2:$E$1000,Entries!$C$2:$C$1000,$A18,Entries!$G$2:$G$1000,I$1)</f>
      </c>
      <c r="J18" s="11">
        <f>SUMIFS(Entries!$E$2:$E$1000,Entries!$C$2:$C$1000,$A18,Entries!$G$2:$G$1000,J$1)</f>
      </c>
      <c r="K18" s="11">
        <f>SUMIFS(Entries!$E$2:$E$1000,Entries!$C$2:$C$1000,$A18,Entries!$G$2:$G$1000,K$1)</f>
      </c>
      <c r="L18" s="11">
        <f>SUMIFS(Entries!$E$2:$E$1000,Entries!$C$2:$C$1000,$A18,Entries!$G$2:$G$1000,L$1)</f>
      </c>
      <c r="M18" s="11">
        <f>SUMIFS(Entries!$E$2:$E$1000,Entries!$C$2:$C$1000,$A18,Entries!$G$2:$G$1000,M$1)</f>
      </c>
    </row>
    <row r="19">
      <c r="A19" s="9">
        <f>Categories!A15</f>
      </c>
      <c r="B19" s="11">
        <f>SUMIFS(Entries!$E$2:$E$1000,Entries!$C$2:$C$1000,$A19,Entries!$G$2:$G$1000,B$1)</f>
      </c>
      <c r="C19" s="11">
        <f>SUMIFS(Entries!$E$2:$E$1000,Entries!$C$2:$C$1000,$A19,Entries!$G$2:$G$1000,C$1)</f>
      </c>
      <c r="D19" s="11">
        <f>SUMIFS(Entries!$E$2:$E$1000,Entries!$C$2:$C$1000,$A19,Entries!$G$2:$G$1000,D$1)</f>
      </c>
      <c r="E19" s="11">
        <f>SUMIFS(Entries!$E$2:$E$1000,Entries!$C$2:$C$1000,$A19,Entries!$G$2:$G$1000,E$1)</f>
      </c>
      <c r="F19" s="11">
        <f>SUMIFS(Entries!$E$2:$E$1000,Entries!$C$2:$C$1000,$A19,Entries!$G$2:$G$1000,F$1)</f>
      </c>
      <c r="G19" s="11">
        <f>SUMIFS(Entries!$E$2:$E$1000,Entries!$C$2:$C$1000,$A19,Entries!$G$2:$G$1000,G$1)</f>
      </c>
      <c r="H19" s="11">
        <f>SUMIFS(Entries!$E$2:$E$1000,Entries!$C$2:$C$1000,$A19,Entries!$G$2:$G$1000,H$1)</f>
      </c>
      <c r="I19" s="11">
        <f>SUMIFS(Entries!$E$2:$E$1000,Entries!$C$2:$C$1000,$A19,Entries!$G$2:$G$1000,I$1)</f>
      </c>
      <c r="J19" s="11">
        <f>SUMIFS(Entries!$E$2:$E$1000,Entries!$C$2:$C$1000,$A19,Entries!$G$2:$G$1000,J$1)</f>
      </c>
      <c r="K19" s="11">
        <f>SUMIFS(Entries!$E$2:$E$1000,Entries!$C$2:$C$1000,$A19,Entries!$G$2:$G$1000,K$1)</f>
      </c>
      <c r="L19" s="11">
        <f>SUMIFS(Entries!$E$2:$E$1000,Entries!$C$2:$C$1000,$A19,Entries!$G$2:$G$1000,L$1)</f>
      </c>
      <c r="M19" s="11">
        <f>SUMIFS(Entries!$E$2:$E$1000,Entries!$C$2:$C$1000,$A19,Entries!$G$2:$G$1000,M$1)</f>
      </c>
    </row>
    <row r="20">
      <c r="A20" s="9">
        <f>Categories!A16</f>
      </c>
      <c r="B20" s="11">
        <f>SUMIFS(Entries!$E$2:$E$1000,Entries!$C$2:$C$1000,$A20,Entries!$G$2:$G$1000,B$1)</f>
      </c>
      <c r="C20" s="11">
        <f>SUMIFS(Entries!$E$2:$E$1000,Entries!$C$2:$C$1000,$A20,Entries!$G$2:$G$1000,C$1)</f>
      </c>
      <c r="D20" s="11">
        <f>SUMIFS(Entries!$E$2:$E$1000,Entries!$C$2:$C$1000,$A20,Entries!$G$2:$G$1000,D$1)</f>
      </c>
      <c r="E20" s="11">
        <f>SUMIFS(Entries!$E$2:$E$1000,Entries!$C$2:$C$1000,$A20,Entries!$G$2:$G$1000,E$1)</f>
      </c>
      <c r="F20" s="11">
        <f>SUMIFS(Entries!$E$2:$E$1000,Entries!$C$2:$C$1000,$A20,Entries!$G$2:$G$1000,F$1)</f>
      </c>
      <c r="G20" s="11">
        <f>SUMIFS(Entries!$E$2:$E$1000,Entries!$C$2:$C$1000,$A20,Entries!$G$2:$G$1000,G$1)</f>
      </c>
      <c r="H20" s="11">
        <f>SUMIFS(Entries!$E$2:$E$1000,Entries!$C$2:$C$1000,$A20,Entries!$G$2:$G$1000,H$1)</f>
      </c>
      <c r="I20" s="11">
        <f>SUMIFS(Entries!$E$2:$E$1000,Entries!$C$2:$C$1000,$A20,Entries!$G$2:$G$1000,I$1)</f>
      </c>
      <c r="J20" s="11">
        <f>SUMIFS(Entries!$E$2:$E$1000,Entries!$C$2:$C$1000,$A20,Entries!$G$2:$G$1000,J$1)</f>
      </c>
      <c r="K20" s="11">
        <f>SUMIFS(Entries!$E$2:$E$1000,Entries!$C$2:$C$1000,$A20,Entries!$G$2:$G$1000,K$1)</f>
      </c>
      <c r="L20" s="11">
        <f>SUMIFS(Entries!$E$2:$E$1000,Entries!$C$2:$C$1000,$A20,Entries!$G$2:$G$1000,L$1)</f>
      </c>
      <c r="M20" s="11">
        <f>SUMIFS(Entries!$E$2:$E$1000,Entries!$C$2:$C$1000,$A20,Entries!$G$2:$G$1000,M$1)</f>
      </c>
    </row>
    <row r="21">
      <c r="A21" s="9">
        <f>Categories!A17</f>
      </c>
      <c r="B21" s="11">
        <f>SUMIFS(Entries!$E$2:$E$1000,Entries!$C$2:$C$1000,$A21,Entries!$G$2:$G$1000,B$1)</f>
      </c>
      <c r="C21" s="11">
        <f>SUMIFS(Entries!$E$2:$E$1000,Entries!$C$2:$C$1000,$A21,Entries!$G$2:$G$1000,C$1)</f>
      </c>
      <c r="D21" s="11">
        <f>SUMIFS(Entries!$E$2:$E$1000,Entries!$C$2:$C$1000,$A21,Entries!$G$2:$G$1000,D$1)</f>
      </c>
      <c r="E21" s="11">
        <f>SUMIFS(Entries!$E$2:$E$1000,Entries!$C$2:$C$1000,$A21,Entries!$G$2:$G$1000,E$1)</f>
      </c>
      <c r="F21" s="11">
        <f>SUMIFS(Entries!$E$2:$E$1000,Entries!$C$2:$C$1000,$A21,Entries!$G$2:$G$1000,F$1)</f>
      </c>
      <c r="G21" s="11">
        <f>SUMIFS(Entries!$E$2:$E$1000,Entries!$C$2:$C$1000,$A21,Entries!$G$2:$G$1000,G$1)</f>
      </c>
      <c r="H21" s="11">
        <f>SUMIFS(Entries!$E$2:$E$1000,Entries!$C$2:$C$1000,$A21,Entries!$G$2:$G$1000,H$1)</f>
      </c>
      <c r="I21" s="11">
        <f>SUMIFS(Entries!$E$2:$E$1000,Entries!$C$2:$C$1000,$A21,Entries!$G$2:$G$1000,I$1)</f>
      </c>
      <c r="J21" s="11">
        <f>SUMIFS(Entries!$E$2:$E$1000,Entries!$C$2:$C$1000,$A21,Entries!$G$2:$G$1000,J$1)</f>
      </c>
      <c r="K21" s="11">
        <f>SUMIFS(Entries!$E$2:$E$1000,Entries!$C$2:$C$1000,$A21,Entries!$G$2:$G$1000,K$1)</f>
      </c>
      <c r="L21" s="11">
        <f>SUMIFS(Entries!$E$2:$E$1000,Entries!$C$2:$C$1000,$A21,Entries!$G$2:$G$1000,L$1)</f>
      </c>
      <c r="M21" s="11">
        <f>SUMIFS(Entries!$E$2:$E$1000,Entries!$C$2:$C$1000,$A21,Entries!$G$2:$G$1000,M$1)</f>
      </c>
    </row>
    <row r="22">
      <c r="A22" s="3" t="inlineStr">
        <is>
          <t xml:space="preserve">Total Expenses</t>
        </is>
      </c>
      <c r="B22" s="11">
        <f>SUM(B9:B21)</f>
      </c>
      <c r="C22" s="11">
        <f>SUM(C9:C21)</f>
      </c>
      <c r="D22" s="11">
        <f>SUM(D9:D21)</f>
      </c>
      <c r="E22" s="11">
        <f>SUM(E9:E21)</f>
      </c>
      <c r="F22" s="11">
        <f>SUM(F9:F21)</f>
      </c>
      <c r="G22" s="11">
        <f>SUM(G9:G21)</f>
      </c>
      <c r="H22" s="11">
        <f>SUM(H9:H21)</f>
      </c>
      <c r="I22" s="11">
        <f>SUM(I9:I21)</f>
      </c>
      <c r="J22" s="11">
        <f>SUM(J9:J21)</f>
      </c>
      <c r="K22" s="11">
        <f>SUM(K9:K21)</f>
      </c>
      <c r="L22" s="11">
        <f>SUM(L9:L21)</f>
      </c>
      <c r="M22" s="11">
        <f>SUM(M9:M21)</f>
      </c>
    </row>
    <row r="23">
      <c r="A23" s="3" t="inlineStr">
        <is>
          <t xml:space="preserve">Net Profit</t>
        </is>
      </c>
      <c r="B23" s="11">
        <f>B6-B22</f>
      </c>
      <c r="C23" s="11">
        <f>C6-C22</f>
      </c>
      <c r="D23" s="11">
        <f>D6-D22</f>
      </c>
      <c r="E23" s="11">
        <f>E6-E22</f>
      </c>
      <c r="F23" s="11">
        <f>F6-F22</f>
      </c>
      <c r="G23" s="11">
        <f>G6-G22</f>
      </c>
      <c r="H23" s="11">
        <f>H6-H22</f>
      </c>
      <c r="I23" s="11">
        <f>I6-I22</f>
      </c>
      <c r="J23" s="11">
        <f>J6-J22</f>
      </c>
      <c r="K23" s="11">
        <f>K6-K22</f>
      </c>
      <c r="L23" s="11">
        <f>L6-L22</f>
      </c>
      <c r="M23" s="11">
        <f>M6-M22</f>
      </c>
    </row>
    <row r="24">
      <c r="A24" s="3" t="inlineStr">
        <is>
          <t xml:space="preserve">Miles Driven</t>
        </is>
      </c>
      <c r="B24" s="10">
        <f>SUMIFS(Entries!$H$2:$H$1000,Entries!$G$2:$G$1000,B$1)</f>
      </c>
      <c r="C24" s="10">
        <f>SUMIFS(Entries!$H$2:$H$1000,Entries!$G$2:$G$1000,C$1)</f>
      </c>
      <c r="D24" s="10">
        <f>SUMIFS(Entries!$H$2:$H$1000,Entries!$G$2:$G$1000,D$1)</f>
      </c>
      <c r="E24" s="10">
        <f>SUMIFS(Entries!$H$2:$H$1000,Entries!$G$2:$G$1000,E$1)</f>
      </c>
      <c r="F24" s="10">
        <f>SUMIFS(Entries!$H$2:$H$1000,Entries!$G$2:$G$1000,F$1)</f>
      </c>
      <c r="G24" s="10">
        <f>SUMIFS(Entries!$H$2:$H$1000,Entries!$G$2:$G$1000,G$1)</f>
      </c>
      <c r="H24" s="10">
        <f>SUMIFS(Entries!$H$2:$H$1000,Entries!$G$2:$G$1000,H$1)</f>
      </c>
      <c r="I24" s="10">
        <f>SUMIFS(Entries!$H$2:$H$1000,Entries!$G$2:$G$1000,I$1)</f>
      </c>
      <c r="J24" s="10">
        <f>SUMIFS(Entries!$H$2:$H$1000,Entries!$G$2:$G$1000,J$1)</f>
      </c>
      <c r="K24" s="10">
        <f>SUMIFS(Entries!$H$2:$H$1000,Entries!$G$2:$G$1000,K$1)</f>
      </c>
      <c r="L24" s="10">
        <f>SUMIFS(Entries!$H$2:$H$1000,Entries!$G$2:$G$1000,L$1)</f>
      </c>
      <c r="M24" s="10">
        <f>SUMIFS(Entries!$H$2:$H$1000,Entries!$G$2:$G$1000,M$1)</f>
      </c>
    </row>
    <row r="25">
      <c r="A25" s="3" t="inlineStr">
        <is>
          <t xml:space="preserve">Mileage Deduction (est.)</t>
        </is>
      </c>
      <c r="B25" s="11">
        <f>ROUND(SUMIFS(Entries!$H$2:$H$1000,Entries!$G$2:$G$1000,B$1)*Categories!$F$2,2)</f>
      </c>
      <c r="C25" s="11">
        <f>ROUND(SUMIFS(Entries!$H$2:$H$1000,Entries!$G$2:$G$1000,C$1)*Categories!$F$2,2)</f>
      </c>
      <c r="D25" s="11">
        <f>ROUND(SUMIFS(Entries!$H$2:$H$1000,Entries!$G$2:$G$1000,D$1)*Categories!$F$2,2)</f>
      </c>
      <c r="E25" s="11">
        <f>ROUND(SUMIFS(Entries!$H$2:$H$1000,Entries!$G$2:$G$1000,E$1)*Categories!$F$2,2)</f>
      </c>
      <c r="F25" s="11">
        <f>ROUND(SUMIFS(Entries!$H$2:$H$1000,Entries!$G$2:$G$1000,F$1)*Categories!$F$2,2)</f>
      </c>
      <c r="G25" s="11">
        <f>ROUND(SUMIFS(Entries!$H$2:$H$1000,Entries!$G$2:$G$1000,G$1)*Categories!$F$2,2)</f>
      </c>
      <c r="H25" s="11">
        <f>ROUND(SUMIFS(Entries!$H$2:$H$1000,Entries!$G$2:$G$1000,H$1)*Categories!$F$2,2)</f>
      </c>
      <c r="I25" s="11">
        <f>ROUND(SUMIFS(Entries!$H$2:$H$1000,Entries!$G$2:$G$1000,I$1)*Categories!$F$2,2)</f>
      </c>
      <c r="J25" s="11">
        <f>ROUND(SUMIFS(Entries!$H$2:$H$1000,Entries!$G$2:$G$1000,J$1)*Categories!$F$2,2)</f>
      </c>
      <c r="K25" s="11">
        <f>ROUND(SUMIFS(Entries!$H$2:$H$1000,Entries!$G$2:$G$1000,K$1)*Categories!$F$2,2)</f>
      </c>
      <c r="L25" s="11">
        <f>ROUND(SUMIFS(Entries!$H$2:$H$1000,Entries!$G$2:$G$1000,L$1)*Categories!$F$2,2)</f>
      </c>
      <c r="M25" s="11">
        <f>ROUND(SUMIFS(Entries!$H$2:$H$1000,Entries!$G$2:$G$1000,M$1)*Categories!$F$2,2)</f>
      </c>
    </row>
    <row r="27">
      <c r="A27" s="14" t="inlineStr">
        <is>
          <t xml:space="preserve">Mileage deduction shown for planning only — it is not included in Net Profit above because it's a deduction, not a cash expense. Your tax pro reconciles this at filing.</t>
        </is>
      </c>
    </row>
  </sheetData>
  <mergeCells count="1">
    <mergeCell ref="A27:H27"/>
  </mergeCells>
  <conditionalFormatting sqref="B23:M23">
    <cfRule type="cellIs" dxfId="3" priority="1" operator="lessThan">
      <formula>0</formula>
    </cfRule>
  </conditionalFormatting>
</worksheet>
</file>

<file path=xl/worksheets/sheet5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14" customWidth="1"/>
    <col min="3" max="3" width="40" customWidth="1"/>
    <col min="4" max="4" width="26" customWidth="1"/>
    <col min="5" max="5" width="12" customWidth="1"/>
    <col min="6" max="6" width="16" customWidth="1"/>
  </cols>
  <sheetData>
    <row r="1">
      <c r="A1" s="2" t="inlineStr">
        <is>
          <t xml:space="preserve">YEAR DASHBOARD</t>
        </is>
      </c>
      <c r="B1" s="2" t="inlineStr">
        <is>
          <t xml:space="preserve"/>
        </is>
      </c>
      <c r="D1" s="2" t="inlineStr">
        <is>
          <t xml:space="preserve">TOP EXPENSE CATEGORIES</t>
        </is>
      </c>
      <c r="E1" s="2" t="inlineStr">
        <is>
          <t xml:space="preserve"/>
        </is>
      </c>
      <c r="F1" s="2" t="inlineStr">
        <is>
          <t xml:space="preserve"/>
        </is>
      </c>
    </row>
    <row r="2">
      <c r="A2" s="3" t="inlineStr">
        <is>
          <t xml:space="preserve">YTD Revenue</t>
        </is>
      </c>
      <c r="B2" s="11">
        <f>SUMIFS(Entries!$E$2:$E$1000,Entries!$B$2:$B$1000,"Income")</f>
      </c>
      <c r="D2" s="3" t="inlineStr">
        <is>
          <t xml:space="preserve">Category</t>
        </is>
      </c>
      <c r="E2" s="3" t="inlineStr">
        <is>
          <t xml:space="preserve">Total ($)</t>
        </is>
      </c>
      <c r="F2" s="3" t="inlineStr">
        <is>
          <t xml:space="preserve">Rank (1 = biggest)</t>
        </is>
      </c>
    </row>
    <row r="3">
      <c r="A3" s="3" t="inlineStr">
        <is>
          <t xml:space="preserve">YTD Expenses</t>
        </is>
      </c>
      <c r="B3" s="11">
        <f>SUMIFS(Entries!$E$2:$E$1000,Entries!$B$2:$B$1000,"Expense")</f>
      </c>
      <c r="D3" s="9">
        <f>Categories!A5</f>
      </c>
      <c r="E3" s="11">
        <f>SUMIFS(Entries!$E$2:$E$1000,Entries!$C$2:$C$1000,$D3)</f>
      </c>
      <c r="F3" s="9">
        <f>IF(E3=0,"",RANK(E3,$E$3:$E$15))</f>
      </c>
    </row>
    <row r="4">
      <c r="A4" s="3" t="inlineStr">
        <is>
          <t xml:space="preserve">YTD Net Profit</t>
        </is>
      </c>
      <c r="B4" s="11">
        <f>B2-B3</f>
      </c>
      <c r="D4" s="9">
        <f>Categories!A6</f>
      </c>
      <c r="E4" s="11">
        <f>SUMIFS(Entries!$E$2:$E$1000,Entries!$C$2:$C$1000,$D4)</f>
      </c>
      <c r="F4" s="9">
        <f>IF(E4=0,"",RANK(E4,$E$3:$E$15))</f>
      </c>
    </row>
    <row r="5">
      <c r="A5" s="3" t="inlineStr">
        <is>
          <t xml:space="preserve">Profit Margin</t>
        </is>
      </c>
      <c r="B5" s="12">
        <f>IF(B2=0,"",B4/B2)</f>
      </c>
      <c r="D5" s="9">
        <f>Categories!A7</f>
      </c>
      <c r="E5" s="11">
        <f>SUMIFS(Entries!$E$2:$E$1000,Entries!$C$2:$C$1000,$D5)</f>
      </c>
      <c r="F5" s="9">
        <f>IF(E5=0,"",RANK(E5,$E$3:$E$15))</f>
      </c>
    </row>
    <row r="6">
      <c r="A6" s="3" t="inlineStr">
        <is>
          <t xml:space="preserve">YTD Miles</t>
        </is>
      </c>
      <c r="B6" s="10">
        <f>SUM(Entries!$H$2:$H$1000)</f>
      </c>
      <c r="D6" s="9">
        <f>Categories!A8</f>
      </c>
      <c r="E6" s="11">
        <f>SUMIFS(Entries!$E$2:$E$1000,Entries!$C$2:$C$1000,$D6)</f>
      </c>
      <c r="F6" s="9">
        <f>IF(E6=0,"",RANK(E6,$E$3:$E$15))</f>
      </c>
    </row>
    <row r="7">
      <c r="A7" s="3" t="inlineStr">
        <is>
          <t xml:space="preserve">Est. Mileage Deduction</t>
        </is>
      </c>
      <c r="B7" s="11">
        <f>ROUND(B6*Categories!$F$2,2)</f>
      </c>
      <c r="D7" s="9">
        <f>Categories!A9</f>
      </c>
      <c r="E7" s="11">
        <f>SUMIFS(Entries!$E$2:$E$1000,Entries!$C$2:$C$1000,$D7)</f>
      </c>
      <c r="F7" s="9">
        <f>IF(E7=0,"",RANK(E7,$E$3:$E$15))</f>
      </c>
    </row>
    <row r="8">
      <c r="A8" s="3" t="inlineStr">
        <is>
          <t xml:space="preserve">Best Month (profit)</t>
        </is>
      </c>
      <c r="B8" s="9">
        <f>IFERROR(TEXT(INDEX('Monthly P&amp;L'!$B$1:$M$1,MATCH(MAX('Monthly P&amp;L'!$B$23:$M$23),'Monthly P&amp;L'!$B$23:$M$23,0)),"MMM"),"")</f>
      </c>
      <c r="D8" s="9">
        <f>Categories!A10</f>
      </c>
      <c r="E8" s="11">
        <f>SUMIFS(Entries!$E$2:$E$1000,Entries!$C$2:$C$1000,$D8)</f>
      </c>
      <c r="F8" s="9">
        <f>IF(E8=0,"",RANK(E8,$E$3:$E$15))</f>
      </c>
    </row>
    <row r="9">
      <c r="A9" s="3" t="inlineStr">
        <is>
          <t xml:space="preserve">Tax set-aside (25% of net)</t>
        </is>
      </c>
      <c r="B9" s="11">
        <f>ROUND(MAX(B4,0)*0.25,2)</f>
      </c>
      <c r="C9" s="14" t="inlineStr">
        <is>
          <t xml:space="preserve">Rough set-aside so quarterly estimates don't ambush you; your tax pro sets the real number.</t>
        </is>
      </c>
      <c r="D9" s="9">
        <f>Categories!A11</f>
      </c>
      <c r="E9" s="11">
        <f>SUMIFS(Entries!$E$2:$E$1000,Entries!$C$2:$C$1000,$D9)</f>
      </c>
      <c r="F9" s="9">
        <f>IF(E9=0,"",RANK(E9,$E$3:$E$15))</f>
      </c>
    </row>
    <row r="10">
      <c r="D10" s="9">
        <f>Categories!A12</f>
      </c>
      <c r="E10" s="11">
        <f>SUMIFS(Entries!$E$2:$E$1000,Entries!$C$2:$C$1000,$D10)</f>
      </c>
      <c r="F10" s="9">
        <f>IF(E10=0,"",RANK(E10,$E$3:$E$15))</f>
      </c>
    </row>
    <row r="11">
      <c r="A11" s="14" t="inlineStr">
        <is>
          <t xml:space="preserve">Tip: insert a column chart over the Monthly P&amp;L Net Profit row (row 23, months on the X axis). One glance tells you whether the business is growing or you're just busy.</t>
        </is>
      </c>
      <c r="D11" s="9">
        <f>Categories!A13</f>
      </c>
      <c r="E11" s="11">
        <f>SUMIFS(Entries!$E$2:$E$1000,Entries!$C$2:$C$1000,$D11)</f>
      </c>
      <c r="F11" s="9">
        <f>IF(E11=0,"",RANK(E11,$E$3:$E$15))</f>
      </c>
    </row>
    <row r="12">
      <c r="D12" s="9">
        <f>Categories!A14</f>
      </c>
      <c r="E12" s="11">
        <f>SUMIFS(Entries!$E$2:$E$1000,Entries!$C$2:$C$1000,$D12)</f>
      </c>
      <c r="F12" s="9">
        <f>IF(E12=0,"",RANK(E12,$E$3:$E$15))</f>
      </c>
    </row>
    <row r="13">
      <c r="D13" s="9">
        <f>Categories!A15</f>
      </c>
      <c r="E13" s="11">
        <f>SUMIFS(Entries!$E$2:$E$1000,Entries!$C$2:$C$1000,$D13)</f>
      </c>
      <c r="F13" s="9">
        <f>IF(E13=0,"",RANK(E13,$E$3:$E$15))</f>
      </c>
    </row>
    <row r="14">
      <c r="D14" s="9">
        <f>Categories!A16</f>
      </c>
      <c r="E14" s="11">
        <f>SUMIFS(Entries!$E$2:$E$1000,Entries!$C$2:$C$1000,$D14)</f>
      </c>
      <c r="F14" s="9">
        <f>IF(E14=0,"",RANK(E14,$E$3:$E$15))</f>
      </c>
    </row>
    <row r="15">
      <c r="D15" s="9">
        <f>Categories!A17</f>
      </c>
      <c r="E15" s="11">
        <f>SUMIFS(Entries!$E$2:$E$1000,Entries!$C$2:$C$1000,$D15)</f>
      </c>
      <c r="F15" s="9">
        <f>IF(E15=0,"",RANK(E15,$E$3:$E$15))</f>
      </c>
    </row>
  </sheetData>
  <mergeCells count="2">
    <mergeCell ref="D1:F1"/>
    <mergeCell ref="A11:F11"/>
  </mergeCells>
</worksheet>
</file>