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rt Here" sheetId="1" r:id="rId1"/>
    <sheet name="Clients" sheetId="2" r:id="rId2"/>
    <sheet name="Route Grid" sheetId="3" r:id="rId3"/>
    <sheet name="Day Summary" sheetId="4" r:id="rId4"/>
  </sheets>
  <calcPr calcId="171027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0"/>
    <numFmt numFmtId="166" formatCode="mmm\ yyyy"/>
    <numFmt numFmtId="167" formatCode="mmm"/>
    <numFmt numFmtId="168" formatCode="yyyy\-mm\-dd"/>
  </numFmts>
  <fonts count="5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1A7F4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NumberFormat="1" applyFont="1" applyFill="1"/>
    <xf numFmtId="0" fontId="4" fillId="0" borderId="0" xfId="0" applyNumberFormat="1" applyFont="1" applyFill="1"/>
    <xf numFmtId="0" fontId="2" fillId="4" borderId="0" xfId="0" applyNumberFormat="1" applyFont="1" applyFill="1"/>
    <xf numFmtId="0" fontId="1" fillId="0" borderId="0" xfId="0" applyNumberFormat="1" applyFont="1" applyFill="1"/>
    <xf numFmtId="0" fontId="0" fillId="2" borderId="0" xfId="0" applyNumberFormat="1" applyFont="1" applyFill="1"/>
    <xf numFmtId="165" fontId="0" fillId="2" borderId="0" xfId="0" applyNumberFormat="1" applyFont="1" applyFill="1"/>
    <xf numFmtId="164" fontId="0" fillId="2" borderId="0" xfId="0" applyNumberFormat="1" applyFont="1" applyFill="1"/>
    <xf numFmtId="168" fontId="0" fillId="2" borderId="0" xfId="0" applyNumberFormat="1" applyFont="1" applyFill="1"/>
    <xf numFmtId="1" fontId="0" fillId="2" borderId="0" xfId="0" applyNumberFormat="1" applyFont="1" applyFill="1"/>
    <xf numFmtId="0" fontId="0" fillId="3" borderId="0" xfId="0" applyNumberFormat="1" applyFont="1" applyFill="1"/>
    <xf numFmtId="165" fontId="0" fillId="3" borderId="0" xfId="0" applyNumberFormat="1" applyFont="1" applyFill="1"/>
    <xf numFmtId="164" fontId="0" fillId="3" borderId="0" xfId="0" applyNumberFormat="1" applyFont="1" applyFill="1"/>
    <xf numFmtId="9" fontId="0" fillId="3" borderId="0" xfId="0" applyNumberFormat="1" applyFont="1" applyFill="1"/>
    <xf numFmtId="166" fontId="0" fillId="3" borderId="0" xfId="0" applyNumberFormat="1" applyFont="1" applyFill="1"/>
    <xf numFmtId="0" fontId="3" fillId="0" borderId="0" xfId="0" applyNumberFormat="1" applyFont="1" applyFill="1" applyAlignment="1">
      <alignment wrapText="1"/>
    </xf>
    <xf numFmtId="0" fontId="0" fillId="0" borderId="0" xfId="0" applyNumberFormat="1" applyFont="1" applyFill="1" applyAlignment="1">
      <alignment wrapText="1" vertical="top"/>
    </xf>
    <xf numFmtId="167" fontId="2" fillId="4" borderId="0" xfId="0" applyNumberFormat="1" applyFont="1" applyFill="1"/>
    <xf numFmtId="0" fontId="0" fillId="3" borderId="0" xfId="0" applyNumberFormat="1" applyFont="1" applyFill="1" applyAlignment="1">
      <alignment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</cols>
  <sheetData>
    <row r="1">
      <c r="A1" s="15" t="inlineStr">
        <is>
          <t xml:space="preserve">Recurring Client &amp; Route Tracker — how to use
The roster is the business. This workbook keeps every recurring client in one tab, builds your Monday-Saturday route board from it, and shows you which route days earn and which ones are a car payment disguised as a schedule.
1. Type only on the Clients tab (yellow columns). Every client gets a Zone and a Day — if you can't answer "what day and what part of town," you don't have a route, you have a pile of appointments.
2. Route Grid fills itself: booked hours per day on row 2, the client list for each day below. Red day = overbooked for a solo operator once you add drive time; green = healthy full day.
3. Day Summary answers one question: what is each route day worth per month, and per hour? A day with 5 clients at $58/booked-hour beats a day with 7 clients at $41/booked-hour. The fix for a weak day is almost never "add more stops" — it's re-zoning the scattered ones and re-pricing the old ones.
Note: the "Day Slot" column on Clients is a helper the Route Grid reads — leave it alone. Yellow = input, green = formula output.</t>
        </is>
      </c>
    </row>
  </sheetData>
  <mergeCells count="1">
    <mergeCell ref="A1:F20"/>
  </mergeCell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30" customWidth="1"/>
    <col min="3" max="3" width="10" customWidth="1"/>
    <col min="4" max="4" width="12" customWidth="1"/>
    <col min="5" max="5" width="14" customWidth="1"/>
    <col min="6" max="6" width="12" customWidth="1"/>
    <col min="7" max="7" width="14" customWidth="1"/>
    <col min="8" max="8" width="42" customWidth="1"/>
    <col min="9" max="9" width="18" customWidth="1"/>
    <col min="10" max="10" width="14" customWidth="1"/>
  </cols>
  <sheetData>
    <row r="1">
      <c r="A1" s="2" t="inlineStr">
        <is>
          <t xml:space="preserve">Client Name</t>
        </is>
      </c>
      <c r="B1" s="2" t="inlineStr">
        <is>
          <t xml:space="preserve">Address</t>
        </is>
      </c>
      <c r="C1" s="2" t="inlineStr">
        <is>
          <t xml:space="preserve">Zone</t>
        </is>
      </c>
      <c r="D1" s="2" t="inlineStr">
        <is>
          <t xml:space="preserve">Frequency</t>
        </is>
      </c>
      <c r="E1" s="2" t="inlineStr">
        <is>
          <t xml:space="preserve">Rate per Visit ($)</t>
        </is>
      </c>
      <c r="F1" s="2" t="inlineStr">
        <is>
          <t xml:space="preserve">Day Assigned</t>
        </is>
      </c>
      <c r="G1" s="2" t="inlineStr">
        <is>
          <t xml:space="preserve">Est. Visit Hours</t>
        </is>
      </c>
      <c r="H1" s="2" t="inlineStr">
        <is>
          <t xml:space="preserve">Notes</t>
        </is>
      </c>
      <c r="I1" s="2" t="inlineStr">
        <is>
          <t xml:space="preserve">Monthly Revenue ($)</t>
        </is>
      </c>
      <c r="J1" s="2" t="inlineStr">
        <is>
          <t xml:space="preserve">Day Slot (helper — do not edit)</t>
        </is>
      </c>
    </row>
    <row r="2">
      <c r="A2" s="4" t="inlineStr">
        <is>
          <t xml:space="preserve">Harmon, K.</t>
        </is>
      </c>
      <c r="B2" s="4" t="inlineStr">
        <is>
          <t xml:space="preserve">412 Cedar Loop, Maple Grove</t>
        </is>
      </c>
      <c r="C2" s="4" t="inlineStr">
        <is>
          <t xml:space="preserve">North</t>
        </is>
      </c>
      <c r="D2" s="4" t="inlineStr">
        <is>
          <t xml:space="preserve">Biweekly</t>
        </is>
      </c>
      <c r="E2" s="6">
        <v>150</v>
      </c>
      <c r="F2" s="4" t="inlineStr">
        <is>
          <t xml:space="preserve">Tue</t>
        </is>
      </c>
      <c r="G2" s="5">
        <v>2.25</v>
      </c>
      <c r="H2" s="4" t="inlineStr">
        <is>
          <t xml:space="preserve">Dog (friendly), key under mat — replace with lockbox</t>
        </is>
      </c>
      <c r="I2" s="11">
        <f>IF(E2="","",E2*IF(D2="Weekly",4.33,IF(D2="Biweekly",2.17,1)))</f>
      </c>
      <c r="J2" s="9">
        <f>IF(A2="","",F2&amp;"-"&amp;COUNTIF($F$2:F2,F2))</f>
      </c>
    </row>
    <row r="3">
      <c r="A3" s="4" t="inlineStr">
        <is>
          <t xml:space="preserve">Bishop Dental (office)</t>
        </is>
      </c>
      <c r="B3" s="4" t="inlineStr">
        <is>
          <t xml:space="preserve">88 Commerce Way, Maple Grove</t>
        </is>
      </c>
      <c r="C3" s="4" t="inlineStr">
        <is>
          <t xml:space="preserve">Core</t>
        </is>
      </c>
      <c r="D3" s="4" t="inlineStr">
        <is>
          <t xml:space="preserve">Weekly</t>
        </is>
      </c>
      <c r="E3" s="6">
        <v>175</v>
      </c>
      <c r="F3" s="4" t="inlineStr">
        <is>
          <t xml:space="preserve">Thu</t>
        </is>
      </c>
      <c r="G3" s="5">
        <v>2.5</v>
      </c>
      <c r="H3" s="4" t="inlineStr">
        <is>
          <t xml:space="preserve">After 6pm only, alarm code in phone</t>
        </is>
      </c>
      <c r="I3" s="11">
        <f>IF(E3="","",E3*IF(D3="Weekly",4.33,IF(D3="Biweekly",2.17,1)))</f>
      </c>
      <c r="J3" s="9">
        <f>IF(A3="","",F3&amp;"-"&amp;COUNTIF($F$2:F3,F3))</f>
      </c>
    </row>
    <row r="4">
      <c r="A4" s="4" t="inlineStr">
        <is>
          <t xml:space="preserve">Ortiz, R.</t>
        </is>
      </c>
      <c r="B4" s="4" t="inlineStr">
        <is>
          <t xml:space="preserve">1509 Fairfield Dr, Lakewood</t>
        </is>
      </c>
      <c r="C4" s="4" t="inlineStr">
        <is>
          <t xml:space="preserve">South</t>
        </is>
      </c>
      <c r="D4" s="4" t="inlineStr">
        <is>
          <t xml:space="preserve">Monthly</t>
        </is>
      </c>
      <c r="E4" s="6">
        <v>220</v>
      </c>
      <c r="F4" s="4" t="inlineStr">
        <is>
          <t xml:space="preserve">Fri</t>
        </is>
      </c>
      <c r="G4" s="5">
        <v>3.0</v>
      </c>
      <c r="H4" s="4" t="inlineStr">
        <is>
          <t xml:space="preserve">Deep-ish monthly, garage entry 4482</t>
        </is>
      </c>
      <c r="I4" s="11">
        <f>IF(E4="","",E4*IF(D4="Weekly",4.33,IF(D4="Biweekly",2.17,1)))</f>
      </c>
      <c r="J4" s="9">
        <f>IF(A4="","",F4&amp;"-"&amp;COUNTIF($F$2:F4,F4))</f>
      </c>
    </row>
    <row r="5">
      <c r="I5" s="11">
        <f>IF(E5="","",E5*IF(D5="Weekly",4.33,IF(D5="Biweekly",2.17,1)))</f>
      </c>
      <c r="J5" s="9">
        <f>IF(A5="","",F5&amp;"-"&amp;COUNTIF($F$2:F5,F5))</f>
      </c>
    </row>
    <row r="6">
      <c r="I6" s="11">
        <f>IF(E6="","",E6*IF(D6="Weekly",4.33,IF(D6="Biweekly",2.17,1)))</f>
      </c>
      <c r="J6" s="9">
        <f>IF(A6="","",F6&amp;"-"&amp;COUNTIF($F$2:F6,F6))</f>
      </c>
    </row>
    <row r="7">
      <c r="I7" s="11">
        <f>IF(E7="","",E7*IF(D7="Weekly",4.33,IF(D7="Biweekly",2.17,1)))</f>
      </c>
      <c r="J7" s="9">
        <f>IF(A7="","",F7&amp;"-"&amp;COUNTIF($F$2:F7,F7))</f>
      </c>
    </row>
    <row r="8">
      <c r="I8" s="11">
        <f>IF(E8="","",E8*IF(D8="Weekly",4.33,IF(D8="Biweekly",2.17,1)))</f>
      </c>
      <c r="J8" s="9">
        <f>IF(A8="","",F8&amp;"-"&amp;COUNTIF($F$2:F8,F8))</f>
      </c>
    </row>
    <row r="9">
      <c r="I9" s="11">
        <f>IF(E9="","",E9*IF(D9="Weekly",4.33,IF(D9="Biweekly",2.17,1)))</f>
      </c>
      <c r="J9" s="9">
        <f>IF(A9="","",F9&amp;"-"&amp;COUNTIF($F$2:F9,F9))</f>
      </c>
    </row>
    <row r="10">
      <c r="I10" s="11">
        <f>IF(E10="","",E10*IF(D10="Weekly",4.33,IF(D10="Biweekly",2.17,1)))</f>
      </c>
      <c r="J10" s="9">
        <f>IF(A10="","",F10&amp;"-"&amp;COUNTIF($F$2:F10,F10))</f>
      </c>
    </row>
    <row r="11">
      <c r="I11" s="11">
        <f>IF(E11="","",E11*IF(D11="Weekly",4.33,IF(D11="Biweekly",2.17,1)))</f>
      </c>
      <c r="J11" s="9">
        <f>IF(A11="","",F11&amp;"-"&amp;COUNTIF($F$2:F11,F11))</f>
      </c>
    </row>
    <row r="12">
      <c r="I12" s="11">
        <f>IF(E12="","",E12*IF(D12="Weekly",4.33,IF(D12="Biweekly",2.17,1)))</f>
      </c>
      <c r="J12" s="9">
        <f>IF(A12="","",F12&amp;"-"&amp;COUNTIF($F$2:F12,F12))</f>
      </c>
    </row>
    <row r="13">
      <c r="I13" s="11">
        <f>IF(E13="","",E13*IF(D13="Weekly",4.33,IF(D13="Biweekly",2.17,1)))</f>
      </c>
      <c r="J13" s="9">
        <f>IF(A13="","",F13&amp;"-"&amp;COUNTIF($F$2:F13,F13))</f>
      </c>
    </row>
    <row r="14">
      <c r="I14" s="11">
        <f>IF(E14="","",E14*IF(D14="Weekly",4.33,IF(D14="Biweekly",2.17,1)))</f>
      </c>
      <c r="J14" s="9">
        <f>IF(A14="","",F14&amp;"-"&amp;COUNTIF($F$2:F14,F14))</f>
      </c>
    </row>
    <row r="15">
      <c r="I15" s="11">
        <f>IF(E15="","",E15*IF(D15="Weekly",4.33,IF(D15="Biweekly",2.17,1)))</f>
      </c>
      <c r="J15" s="9">
        <f>IF(A15="","",F15&amp;"-"&amp;COUNTIF($F$2:F15,F15))</f>
      </c>
    </row>
    <row r="16">
      <c r="I16" s="11">
        <f>IF(E16="","",E16*IF(D16="Weekly",4.33,IF(D16="Biweekly",2.17,1)))</f>
      </c>
      <c r="J16" s="9">
        <f>IF(A16="","",F16&amp;"-"&amp;COUNTIF($F$2:F16,F16))</f>
      </c>
    </row>
    <row r="17">
      <c r="I17" s="11">
        <f>IF(E17="","",E17*IF(D17="Weekly",4.33,IF(D17="Biweekly",2.17,1)))</f>
      </c>
      <c r="J17" s="9">
        <f>IF(A17="","",F17&amp;"-"&amp;COUNTIF($F$2:F17,F17))</f>
      </c>
    </row>
    <row r="18">
      <c r="I18" s="11">
        <f>IF(E18="","",E18*IF(D18="Weekly",4.33,IF(D18="Biweekly",2.17,1)))</f>
      </c>
      <c r="J18" s="9">
        <f>IF(A18="","",F18&amp;"-"&amp;COUNTIF($F$2:F18,F18))</f>
      </c>
    </row>
    <row r="19">
      <c r="I19" s="11">
        <f>IF(E19="","",E19*IF(D19="Weekly",4.33,IF(D19="Biweekly",2.17,1)))</f>
      </c>
      <c r="J19" s="9">
        <f>IF(A19="","",F19&amp;"-"&amp;COUNTIF($F$2:F19,F19))</f>
      </c>
    </row>
    <row r="20">
      <c r="I20" s="11">
        <f>IF(E20="","",E20*IF(D20="Weekly",4.33,IF(D20="Biweekly",2.17,1)))</f>
      </c>
      <c r="J20" s="9">
        <f>IF(A20="","",F20&amp;"-"&amp;COUNTIF($F$2:F20,F20))</f>
      </c>
    </row>
    <row r="21">
      <c r="I21" s="11">
        <f>IF(E21="","",E21*IF(D21="Weekly",4.33,IF(D21="Biweekly",2.17,1)))</f>
      </c>
      <c r="J21" s="9">
        <f>IF(A21="","",F21&amp;"-"&amp;COUNTIF($F$2:F21,F21))</f>
      </c>
    </row>
    <row r="22">
      <c r="I22" s="11">
        <f>IF(E22="","",E22*IF(D22="Weekly",4.33,IF(D22="Biweekly",2.17,1)))</f>
      </c>
      <c r="J22" s="9">
        <f>IF(A22="","",F22&amp;"-"&amp;COUNTIF($F$2:F22,F22))</f>
      </c>
    </row>
    <row r="23">
      <c r="I23" s="11">
        <f>IF(E23="","",E23*IF(D23="Weekly",4.33,IF(D23="Biweekly",2.17,1)))</f>
      </c>
      <c r="J23" s="9">
        <f>IF(A23="","",F23&amp;"-"&amp;COUNTIF($F$2:F23,F23))</f>
      </c>
    </row>
    <row r="24">
      <c r="I24" s="11">
        <f>IF(E24="","",E24*IF(D24="Weekly",4.33,IF(D24="Biweekly",2.17,1)))</f>
      </c>
      <c r="J24" s="9">
        <f>IF(A24="","",F24&amp;"-"&amp;COUNTIF($F$2:F24,F24))</f>
      </c>
    </row>
    <row r="25">
      <c r="I25" s="11">
        <f>IF(E25="","",E25*IF(D25="Weekly",4.33,IF(D25="Biweekly",2.17,1)))</f>
      </c>
      <c r="J25" s="9">
        <f>IF(A25="","",F25&amp;"-"&amp;COUNTIF($F$2:F25,F25))</f>
      </c>
    </row>
    <row r="26">
      <c r="I26" s="11">
        <f>IF(E26="","",E26*IF(D26="Weekly",4.33,IF(D26="Biweekly",2.17,1)))</f>
      </c>
      <c r="J26" s="9">
        <f>IF(A26="","",F26&amp;"-"&amp;COUNTIF($F$2:F26,F26))</f>
      </c>
    </row>
    <row r="27">
      <c r="I27" s="11">
        <f>IF(E27="","",E27*IF(D27="Weekly",4.33,IF(D27="Biweekly",2.17,1)))</f>
      </c>
      <c r="J27" s="9">
        <f>IF(A27="","",F27&amp;"-"&amp;COUNTIF($F$2:F27,F27))</f>
      </c>
    </row>
    <row r="28">
      <c r="I28" s="11">
        <f>IF(E28="","",E28*IF(D28="Weekly",4.33,IF(D28="Biweekly",2.17,1)))</f>
      </c>
      <c r="J28" s="9">
        <f>IF(A28="","",F28&amp;"-"&amp;COUNTIF($F$2:F28,F28))</f>
      </c>
    </row>
    <row r="29">
      <c r="I29" s="11">
        <f>IF(E29="","",E29*IF(D29="Weekly",4.33,IF(D29="Biweekly",2.17,1)))</f>
      </c>
      <c r="J29" s="9">
        <f>IF(A29="","",F29&amp;"-"&amp;COUNTIF($F$2:F29,F29))</f>
      </c>
    </row>
    <row r="30">
      <c r="I30" s="11">
        <f>IF(E30="","",E30*IF(D30="Weekly",4.33,IF(D30="Biweekly",2.17,1)))</f>
      </c>
      <c r="J30" s="9">
        <f>IF(A30="","",F30&amp;"-"&amp;COUNTIF($F$2:F30,F30))</f>
      </c>
    </row>
    <row r="31">
      <c r="I31" s="11">
        <f>IF(E31="","",E31*IF(D31="Weekly",4.33,IF(D31="Biweekly",2.17,1)))</f>
      </c>
      <c r="J31" s="9">
        <f>IF(A31="","",F31&amp;"-"&amp;COUNTIF($F$2:F31,F31))</f>
      </c>
    </row>
    <row r="32">
      <c r="I32" s="11">
        <f>IF(E32="","",E32*IF(D32="Weekly",4.33,IF(D32="Biweekly",2.17,1)))</f>
      </c>
      <c r="J32" s="9">
        <f>IF(A32="","",F32&amp;"-"&amp;COUNTIF($F$2:F32,F32))</f>
      </c>
    </row>
    <row r="33">
      <c r="I33" s="11">
        <f>IF(E33="","",E33*IF(D33="Weekly",4.33,IF(D33="Biweekly",2.17,1)))</f>
      </c>
      <c r="J33" s="9">
        <f>IF(A33="","",F33&amp;"-"&amp;COUNTIF($F$2:F33,F33))</f>
      </c>
    </row>
    <row r="34">
      <c r="I34" s="11">
        <f>IF(E34="","",E34*IF(D34="Weekly",4.33,IF(D34="Biweekly",2.17,1)))</f>
      </c>
      <c r="J34" s="9">
        <f>IF(A34="","",F34&amp;"-"&amp;COUNTIF($F$2:F34,F34))</f>
      </c>
    </row>
    <row r="35">
      <c r="I35" s="11">
        <f>IF(E35="","",E35*IF(D35="Weekly",4.33,IF(D35="Biweekly",2.17,1)))</f>
      </c>
      <c r="J35" s="9">
        <f>IF(A35="","",F35&amp;"-"&amp;COUNTIF($F$2:F35,F35))</f>
      </c>
    </row>
    <row r="36">
      <c r="I36" s="11">
        <f>IF(E36="","",E36*IF(D36="Weekly",4.33,IF(D36="Biweekly",2.17,1)))</f>
      </c>
      <c r="J36" s="9">
        <f>IF(A36="","",F36&amp;"-"&amp;COUNTIF($F$2:F36,F36))</f>
      </c>
    </row>
    <row r="37">
      <c r="I37" s="11">
        <f>IF(E37="","",E37*IF(D37="Weekly",4.33,IF(D37="Biweekly",2.17,1)))</f>
      </c>
      <c r="J37" s="9">
        <f>IF(A37="","",F37&amp;"-"&amp;COUNTIF($F$2:F37,F37))</f>
      </c>
    </row>
    <row r="38">
      <c r="I38" s="11">
        <f>IF(E38="","",E38*IF(D38="Weekly",4.33,IF(D38="Biweekly",2.17,1)))</f>
      </c>
      <c r="J38" s="9">
        <f>IF(A38="","",F38&amp;"-"&amp;COUNTIF($F$2:F38,F38))</f>
      </c>
    </row>
    <row r="39">
      <c r="I39" s="11">
        <f>IF(E39="","",E39*IF(D39="Weekly",4.33,IF(D39="Biweekly",2.17,1)))</f>
      </c>
      <c r="J39" s="9">
        <f>IF(A39="","",F39&amp;"-"&amp;COUNTIF($F$2:F39,F39))</f>
      </c>
    </row>
    <row r="40">
      <c r="I40" s="11">
        <f>IF(E40="","",E40*IF(D40="Weekly",4.33,IF(D40="Biweekly",2.17,1)))</f>
      </c>
      <c r="J40" s="9">
        <f>IF(A40="","",F40&amp;"-"&amp;COUNTIF($F$2:F40,F40))</f>
      </c>
    </row>
    <row r="41">
      <c r="I41" s="11">
        <f>IF(E41="","",E41*IF(D41="Weekly",4.33,IF(D41="Biweekly",2.17,1)))</f>
      </c>
      <c r="J41" s="9">
        <f>IF(A41="","",F41&amp;"-"&amp;COUNTIF($F$2:F41,F41))</f>
      </c>
    </row>
    <row r="42">
      <c r="I42" s="11">
        <f>IF(E42="","",E42*IF(D42="Weekly",4.33,IF(D42="Biweekly",2.17,1)))</f>
      </c>
      <c r="J42" s="9">
        <f>IF(A42="","",F42&amp;"-"&amp;COUNTIF($F$2:F42,F42))</f>
      </c>
    </row>
    <row r="43">
      <c r="I43" s="11">
        <f>IF(E43="","",E43*IF(D43="Weekly",4.33,IF(D43="Biweekly",2.17,1)))</f>
      </c>
      <c r="J43" s="9">
        <f>IF(A43="","",F43&amp;"-"&amp;COUNTIF($F$2:F43,F43))</f>
      </c>
    </row>
    <row r="44">
      <c r="I44" s="11">
        <f>IF(E44="","",E44*IF(D44="Weekly",4.33,IF(D44="Biweekly",2.17,1)))</f>
      </c>
      <c r="J44" s="9">
        <f>IF(A44="","",F44&amp;"-"&amp;COUNTIF($F$2:F44,F44))</f>
      </c>
    </row>
    <row r="45">
      <c r="I45" s="11">
        <f>IF(E45="","",E45*IF(D45="Weekly",4.33,IF(D45="Biweekly",2.17,1)))</f>
      </c>
      <c r="J45" s="9">
        <f>IF(A45="","",F45&amp;"-"&amp;COUNTIF($F$2:F45,F45))</f>
      </c>
    </row>
    <row r="46">
      <c r="I46" s="11">
        <f>IF(E46="","",E46*IF(D46="Weekly",4.33,IF(D46="Biweekly",2.17,1)))</f>
      </c>
      <c r="J46" s="9">
        <f>IF(A46="","",F46&amp;"-"&amp;COUNTIF($F$2:F46,F46))</f>
      </c>
    </row>
    <row r="47">
      <c r="I47" s="11">
        <f>IF(E47="","",E47*IF(D47="Weekly",4.33,IF(D47="Biweekly",2.17,1)))</f>
      </c>
      <c r="J47" s="9">
        <f>IF(A47="","",F47&amp;"-"&amp;COUNTIF($F$2:F47,F47))</f>
      </c>
    </row>
    <row r="48">
      <c r="I48" s="11">
        <f>IF(E48="","",E48*IF(D48="Weekly",4.33,IF(D48="Biweekly",2.17,1)))</f>
      </c>
      <c r="J48" s="9">
        <f>IF(A48="","",F48&amp;"-"&amp;COUNTIF($F$2:F48,F48))</f>
      </c>
    </row>
    <row r="49">
      <c r="I49" s="11">
        <f>IF(E49="","",E49*IF(D49="Weekly",4.33,IF(D49="Biweekly",2.17,1)))</f>
      </c>
      <c r="J49" s="9">
        <f>IF(A49="","",F49&amp;"-"&amp;COUNTIF($F$2:F49,F49))</f>
      </c>
    </row>
    <row r="50">
      <c r="I50" s="11">
        <f>IF(E50="","",E50*IF(D50="Weekly",4.33,IF(D50="Biweekly",2.17,1)))</f>
      </c>
      <c r="J50" s="9">
        <f>IF(A50="","",F50&amp;"-"&amp;COUNTIF($F$2:F50,F50))</f>
      </c>
    </row>
    <row r="51">
      <c r="I51" s="11">
        <f>IF(E51="","",E51*IF(D51="Weekly",4.33,IF(D51="Biweekly",2.17,1)))</f>
      </c>
      <c r="J51" s="9">
        <f>IF(A51="","",F51&amp;"-"&amp;COUNTIF($F$2:F51,F51))</f>
      </c>
    </row>
    <row r="52">
      <c r="I52" s="11">
        <f>IF(E52="","",E52*IF(D52="Weekly",4.33,IF(D52="Biweekly",2.17,1)))</f>
      </c>
      <c r="J52" s="9">
        <f>IF(A52="","",F52&amp;"-"&amp;COUNTIF($F$2:F52,F52))</f>
      </c>
    </row>
    <row r="53">
      <c r="I53" s="11">
        <f>IF(E53="","",E53*IF(D53="Weekly",4.33,IF(D53="Biweekly",2.17,1)))</f>
      </c>
      <c r="J53" s="9">
        <f>IF(A53="","",F53&amp;"-"&amp;COUNTIF($F$2:F53,F53))</f>
      </c>
    </row>
    <row r="54">
      <c r="I54" s="11">
        <f>IF(E54="","",E54*IF(D54="Weekly",4.33,IF(D54="Biweekly",2.17,1)))</f>
      </c>
      <c r="J54" s="9">
        <f>IF(A54="","",F54&amp;"-"&amp;COUNTIF($F$2:F54,F54))</f>
      </c>
    </row>
    <row r="55">
      <c r="I55" s="11">
        <f>IF(E55="","",E55*IF(D55="Weekly",4.33,IF(D55="Biweekly",2.17,1)))</f>
      </c>
      <c r="J55" s="9">
        <f>IF(A55="","",F55&amp;"-"&amp;COUNTIF($F$2:F55,F55))</f>
      </c>
    </row>
    <row r="56">
      <c r="I56" s="11">
        <f>IF(E56="","",E56*IF(D56="Weekly",4.33,IF(D56="Biweekly",2.17,1)))</f>
      </c>
      <c r="J56" s="9">
        <f>IF(A56="","",F56&amp;"-"&amp;COUNTIF($F$2:F56,F56))</f>
      </c>
    </row>
    <row r="57">
      <c r="I57" s="11">
        <f>IF(E57="","",E57*IF(D57="Weekly",4.33,IF(D57="Biweekly",2.17,1)))</f>
      </c>
      <c r="J57" s="9">
        <f>IF(A57="","",F57&amp;"-"&amp;COUNTIF($F$2:F57,F57))</f>
      </c>
    </row>
    <row r="58">
      <c r="I58" s="11">
        <f>IF(E58="","",E58*IF(D58="Weekly",4.33,IF(D58="Biweekly",2.17,1)))</f>
      </c>
      <c r="J58" s="9">
        <f>IF(A58="","",F58&amp;"-"&amp;COUNTIF($F$2:F58,F58))</f>
      </c>
    </row>
    <row r="59">
      <c r="I59" s="11">
        <f>IF(E59="","",E59*IF(D59="Weekly",4.33,IF(D59="Biweekly",2.17,1)))</f>
      </c>
      <c r="J59" s="9">
        <f>IF(A59="","",F59&amp;"-"&amp;COUNTIF($F$2:F59,F59))</f>
      </c>
    </row>
    <row r="60">
      <c r="I60" s="11">
        <f>IF(E60="","",E60*IF(D60="Weekly",4.33,IF(D60="Biweekly",2.17,1)))</f>
      </c>
      <c r="J60" s="9">
        <f>IF(A60="","",F60&amp;"-"&amp;COUNTIF($F$2:F60,F60))</f>
      </c>
    </row>
    <row r="61">
      <c r="I61" s="11">
        <f>IF(E61="","",E61*IF(D61="Weekly",4.33,IF(D61="Biweekly",2.17,1)))</f>
      </c>
      <c r="J61" s="9">
        <f>IF(A61="","",F61&amp;"-"&amp;COUNTIF($F$2:F61,F61))</f>
      </c>
    </row>
    <row r="62">
      <c r="I62" s="11">
        <f>IF(E62="","",E62*IF(D62="Weekly",4.33,IF(D62="Biweekly",2.17,1)))</f>
      </c>
      <c r="J62" s="9">
        <f>IF(A62="","",F62&amp;"-"&amp;COUNTIF($F$2:F62,F62))</f>
      </c>
    </row>
    <row r="63">
      <c r="I63" s="11">
        <f>IF(E63="","",E63*IF(D63="Weekly",4.33,IF(D63="Biweekly",2.17,1)))</f>
      </c>
      <c r="J63" s="9">
        <f>IF(A63="","",F63&amp;"-"&amp;COUNTIF($F$2:F63,F63))</f>
      </c>
    </row>
    <row r="64">
      <c r="I64" s="11">
        <f>IF(E64="","",E64*IF(D64="Weekly",4.33,IF(D64="Biweekly",2.17,1)))</f>
      </c>
      <c r="J64" s="9">
        <f>IF(A64="","",F64&amp;"-"&amp;COUNTIF($F$2:F64,F64))</f>
      </c>
    </row>
    <row r="65">
      <c r="I65" s="11">
        <f>IF(E65="","",E65*IF(D65="Weekly",4.33,IF(D65="Biweekly",2.17,1)))</f>
      </c>
      <c r="J65" s="9">
        <f>IF(A65="","",F65&amp;"-"&amp;COUNTIF($F$2:F65,F65))</f>
      </c>
    </row>
    <row r="66">
      <c r="I66" s="11">
        <f>IF(E66="","",E66*IF(D66="Weekly",4.33,IF(D66="Biweekly",2.17,1)))</f>
      </c>
      <c r="J66" s="9">
        <f>IF(A66="","",F66&amp;"-"&amp;COUNTIF($F$2:F66,F66))</f>
      </c>
    </row>
    <row r="67">
      <c r="I67" s="11">
        <f>IF(E67="","",E67*IF(D67="Weekly",4.33,IF(D67="Biweekly",2.17,1)))</f>
      </c>
      <c r="J67" s="9">
        <f>IF(A67="","",F67&amp;"-"&amp;COUNTIF($F$2:F67,F67))</f>
      </c>
    </row>
    <row r="68">
      <c r="I68" s="11">
        <f>IF(E68="","",E68*IF(D68="Weekly",4.33,IF(D68="Biweekly",2.17,1)))</f>
      </c>
      <c r="J68" s="9">
        <f>IF(A68="","",F68&amp;"-"&amp;COUNTIF($F$2:F68,F68))</f>
      </c>
    </row>
    <row r="69">
      <c r="I69" s="11">
        <f>IF(E69="","",E69*IF(D69="Weekly",4.33,IF(D69="Biweekly",2.17,1)))</f>
      </c>
      <c r="J69" s="9">
        <f>IF(A69="","",F69&amp;"-"&amp;COUNTIF($F$2:F69,F69))</f>
      </c>
    </row>
    <row r="70">
      <c r="I70" s="11">
        <f>IF(E70="","",E70*IF(D70="Weekly",4.33,IF(D70="Biweekly",2.17,1)))</f>
      </c>
      <c r="J70" s="9">
        <f>IF(A70="","",F70&amp;"-"&amp;COUNTIF($F$2:F70,F70))</f>
      </c>
    </row>
    <row r="71">
      <c r="I71" s="11">
        <f>IF(E71="","",E71*IF(D71="Weekly",4.33,IF(D71="Biweekly",2.17,1)))</f>
      </c>
      <c r="J71" s="9">
        <f>IF(A71="","",F71&amp;"-"&amp;COUNTIF($F$2:F71,F71))</f>
      </c>
    </row>
    <row r="72">
      <c r="I72" s="11">
        <f>IF(E72="","",E72*IF(D72="Weekly",4.33,IF(D72="Biweekly",2.17,1)))</f>
      </c>
      <c r="J72" s="9">
        <f>IF(A72="","",F72&amp;"-"&amp;COUNTIF($F$2:F72,F72))</f>
      </c>
    </row>
    <row r="73">
      <c r="I73" s="11">
        <f>IF(E73="","",E73*IF(D73="Weekly",4.33,IF(D73="Biweekly",2.17,1)))</f>
      </c>
      <c r="J73" s="9">
        <f>IF(A73="","",F73&amp;"-"&amp;COUNTIF($F$2:F73,F73))</f>
      </c>
    </row>
    <row r="74">
      <c r="I74" s="11">
        <f>IF(E74="","",E74*IF(D74="Weekly",4.33,IF(D74="Biweekly",2.17,1)))</f>
      </c>
      <c r="J74" s="9">
        <f>IF(A74="","",F74&amp;"-"&amp;COUNTIF($F$2:F74,F74))</f>
      </c>
    </row>
    <row r="75">
      <c r="I75" s="11">
        <f>IF(E75="","",E75*IF(D75="Weekly",4.33,IF(D75="Biweekly",2.17,1)))</f>
      </c>
      <c r="J75" s="9">
        <f>IF(A75="","",F75&amp;"-"&amp;COUNTIF($F$2:F75,F75))</f>
      </c>
    </row>
    <row r="76">
      <c r="I76" s="11">
        <f>IF(E76="","",E76*IF(D76="Weekly",4.33,IF(D76="Biweekly",2.17,1)))</f>
      </c>
      <c r="J76" s="9">
        <f>IF(A76="","",F76&amp;"-"&amp;COUNTIF($F$2:F76,F76))</f>
      </c>
    </row>
    <row r="77">
      <c r="I77" s="11">
        <f>IF(E77="","",E77*IF(D77="Weekly",4.33,IF(D77="Biweekly",2.17,1)))</f>
      </c>
      <c r="J77" s="9">
        <f>IF(A77="","",F77&amp;"-"&amp;COUNTIF($F$2:F77,F77))</f>
      </c>
    </row>
    <row r="78">
      <c r="I78" s="11">
        <f>IF(E78="","",E78*IF(D78="Weekly",4.33,IF(D78="Biweekly",2.17,1)))</f>
      </c>
      <c r="J78" s="9">
        <f>IF(A78="","",F78&amp;"-"&amp;COUNTIF($F$2:F78,F78))</f>
      </c>
    </row>
    <row r="79">
      <c r="I79" s="11">
        <f>IF(E79="","",E79*IF(D79="Weekly",4.33,IF(D79="Biweekly",2.17,1)))</f>
      </c>
      <c r="J79" s="9">
        <f>IF(A79="","",F79&amp;"-"&amp;COUNTIF($F$2:F79,F79))</f>
      </c>
    </row>
    <row r="80">
      <c r="I80" s="11">
        <f>IF(E80="","",E80*IF(D80="Weekly",4.33,IF(D80="Biweekly",2.17,1)))</f>
      </c>
      <c r="J80" s="9">
        <f>IF(A80="","",F80&amp;"-"&amp;COUNTIF($F$2:F80,F80))</f>
      </c>
    </row>
    <row r="81">
      <c r="I81" s="11">
        <f>IF(E81="","",E81*IF(D81="Weekly",4.33,IF(D81="Biweekly",2.17,1)))</f>
      </c>
      <c r="J81" s="9">
        <f>IF(A81="","",F81&amp;"-"&amp;COUNTIF($F$2:F81,F81))</f>
      </c>
    </row>
    <row r="82">
      <c r="I82" s="11">
        <f>IF(E82="","",E82*IF(D82="Weekly",4.33,IF(D82="Biweekly",2.17,1)))</f>
      </c>
      <c r="J82" s="9">
        <f>IF(A82="","",F82&amp;"-"&amp;COUNTIF($F$2:F82,F82))</f>
      </c>
    </row>
    <row r="83">
      <c r="I83" s="11">
        <f>IF(E83="","",E83*IF(D83="Weekly",4.33,IF(D83="Biweekly",2.17,1)))</f>
      </c>
      <c r="J83" s="9">
        <f>IF(A83="","",F83&amp;"-"&amp;COUNTIF($F$2:F83,F83))</f>
      </c>
    </row>
    <row r="84">
      <c r="I84" s="11">
        <f>IF(E84="","",E84*IF(D84="Weekly",4.33,IF(D84="Biweekly",2.17,1)))</f>
      </c>
      <c r="J84" s="9">
        <f>IF(A84="","",F84&amp;"-"&amp;COUNTIF($F$2:F84,F84))</f>
      </c>
    </row>
    <row r="85">
      <c r="I85" s="11">
        <f>IF(E85="","",E85*IF(D85="Weekly",4.33,IF(D85="Biweekly",2.17,1)))</f>
      </c>
      <c r="J85" s="9">
        <f>IF(A85="","",F85&amp;"-"&amp;COUNTIF($F$2:F85,F85))</f>
      </c>
    </row>
    <row r="86">
      <c r="I86" s="11">
        <f>IF(E86="","",E86*IF(D86="Weekly",4.33,IF(D86="Biweekly",2.17,1)))</f>
      </c>
      <c r="J86" s="9">
        <f>IF(A86="","",F86&amp;"-"&amp;COUNTIF($F$2:F86,F86))</f>
      </c>
    </row>
    <row r="87">
      <c r="I87" s="11">
        <f>IF(E87="","",E87*IF(D87="Weekly",4.33,IF(D87="Biweekly",2.17,1)))</f>
      </c>
      <c r="J87" s="9">
        <f>IF(A87="","",F87&amp;"-"&amp;COUNTIF($F$2:F87,F87))</f>
      </c>
    </row>
    <row r="88">
      <c r="I88" s="11">
        <f>IF(E88="","",E88*IF(D88="Weekly",4.33,IF(D88="Biweekly",2.17,1)))</f>
      </c>
      <c r="J88" s="9">
        <f>IF(A88="","",F88&amp;"-"&amp;COUNTIF($F$2:F88,F88))</f>
      </c>
    </row>
    <row r="89">
      <c r="I89" s="11">
        <f>IF(E89="","",E89*IF(D89="Weekly",4.33,IF(D89="Biweekly",2.17,1)))</f>
      </c>
      <c r="J89" s="9">
        <f>IF(A89="","",F89&amp;"-"&amp;COUNTIF($F$2:F89,F89))</f>
      </c>
    </row>
    <row r="90">
      <c r="I90" s="11">
        <f>IF(E90="","",E90*IF(D90="Weekly",4.33,IF(D90="Biweekly",2.17,1)))</f>
      </c>
      <c r="J90" s="9">
        <f>IF(A90="","",F90&amp;"-"&amp;COUNTIF($F$2:F90,F90))</f>
      </c>
    </row>
    <row r="91">
      <c r="I91" s="11">
        <f>IF(E91="","",E91*IF(D91="Weekly",4.33,IF(D91="Biweekly",2.17,1)))</f>
      </c>
      <c r="J91" s="9">
        <f>IF(A91="","",F91&amp;"-"&amp;COUNTIF($F$2:F91,F91))</f>
      </c>
    </row>
    <row r="92">
      <c r="I92" s="11">
        <f>IF(E92="","",E92*IF(D92="Weekly",4.33,IF(D92="Biweekly",2.17,1)))</f>
      </c>
      <c r="J92" s="9">
        <f>IF(A92="","",F92&amp;"-"&amp;COUNTIF($F$2:F92,F92))</f>
      </c>
    </row>
    <row r="93">
      <c r="I93" s="11">
        <f>IF(E93="","",E93*IF(D93="Weekly",4.33,IF(D93="Biweekly",2.17,1)))</f>
      </c>
      <c r="J93" s="9">
        <f>IF(A93="","",F93&amp;"-"&amp;COUNTIF($F$2:F93,F93))</f>
      </c>
    </row>
    <row r="94">
      <c r="I94" s="11">
        <f>IF(E94="","",E94*IF(D94="Weekly",4.33,IF(D94="Biweekly",2.17,1)))</f>
      </c>
      <c r="J94" s="9">
        <f>IF(A94="","",F94&amp;"-"&amp;COUNTIF($F$2:F94,F94))</f>
      </c>
    </row>
    <row r="95">
      <c r="I95" s="11">
        <f>IF(E95="","",E95*IF(D95="Weekly",4.33,IF(D95="Biweekly",2.17,1)))</f>
      </c>
      <c r="J95" s="9">
        <f>IF(A95="","",F95&amp;"-"&amp;COUNTIF($F$2:F95,F95))</f>
      </c>
    </row>
    <row r="96">
      <c r="I96" s="11">
        <f>IF(E96="","",E96*IF(D96="Weekly",4.33,IF(D96="Biweekly",2.17,1)))</f>
      </c>
      <c r="J96" s="9">
        <f>IF(A96="","",F96&amp;"-"&amp;COUNTIF($F$2:F96,F96))</f>
      </c>
    </row>
    <row r="97">
      <c r="I97" s="11">
        <f>IF(E97="","",E97*IF(D97="Weekly",4.33,IF(D97="Biweekly",2.17,1)))</f>
      </c>
      <c r="J97" s="9">
        <f>IF(A97="","",F97&amp;"-"&amp;COUNTIF($F$2:F97,F97))</f>
      </c>
    </row>
    <row r="98">
      <c r="I98" s="11">
        <f>IF(E98="","",E98*IF(D98="Weekly",4.33,IF(D98="Biweekly",2.17,1)))</f>
      </c>
      <c r="J98" s="9">
        <f>IF(A98="","",F98&amp;"-"&amp;COUNTIF($F$2:F98,F98))</f>
      </c>
    </row>
    <row r="99">
      <c r="I99" s="11">
        <f>IF(E99="","",E99*IF(D99="Weekly",4.33,IF(D99="Biweekly",2.17,1)))</f>
      </c>
      <c r="J99" s="9">
        <f>IF(A99="","",F99&amp;"-"&amp;COUNTIF($F$2:F99,F99))</f>
      </c>
    </row>
    <row r="100">
      <c r="I100" s="11">
        <f>IF(E100="","",E100*IF(D100="Weekly",4.33,IF(D100="Biweekly",2.17,1)))</f>
      </c>
      <c r="J100" s="9">
        <f>IF(A100="","",F100&amp;"-"&amp;COUNTIF($F$2:F100,F100))</f>
      </c>
    </row>
    <row r="101">
      <c r="I101" s="11">
        <f>IF(E101="","",E101*IF(D101="Weekly",4.33,IF(D101="Biweekly",2.17,1)))</f>
      </c>
      <c r="J101" s="9">
        <f>IF(A101="","",F101&amp;"-"&amp;COUNTIF($F$2:F101,F101))</f>
      </c>
    </row>
    <row r="102">
      <c r="I102" s="11">
        <f>IF(E102="","",E102*IF(D102="Weekly",4.33,IF(D102="Biweekly",2.17,1)))</f>
      </c>
      <c r="J102" s="9">
        <f>IF(A102="","",F102&amp;"-"&amp;COUNTIF($F$2:F102,F102))</f>
      </c>
    </row>
    <row r="103">
      <c r="I103" s="11">
        <f>IF(E103="","",E103*IF(D103="Weekly",4.33,IF(D103="Biweekly",2.17,1)))</f>
      </c>
      <c r="J103" s="9">
        <f>IF(A103="","",F103&amp;"-"&amp;COUNTIF($F$2:F103,F103))</f>
      </c>
    </row>
    <row r="104">
      <c r="I104" s="11">
        <f>IF(E104="","",E104*IF(D104="Weekly",4.33,IF(D104="Biweekly",2.17,1)))</f>
      </c>
      <c r="J104" s="9">
        <f>IF(A104="","",F104&amp;"-"&amp;COUNTIF($F$2:F104,F104))</f>
      </c>
    </row>
    <row r="105">
      <c r="I105" s="11">
        <f>IF(E105="","",E105*IF(D105="Weekly",4.33,IF(D105="Biweekly",2.17,1)))</f>
      </c>
      <c r="J105" s="9">
        <f>IF(A105="","",F105&amp;"-"&amp;COUNTIF($F$2:F105,F105))</f>
      </c>
    </row>
    <row r="106">
      <c r="I106" s="11">
        <f>IF(E106="","",E106*IF(D106="Weekly",4.33,IF(D106="Biweekly",2.17,1)))</f>
      </c>
      <c r="J106" s="9">
        <f>IF(A106="","",F106&amp;"-"&amp;COUNTIF($F$2:F106,F106))</f>
      </c>
    </row>
    <row r="107">
      <c r="I107" s="11">
        <f>IF(E107="","",E107*IF(D107="Weekly",4.33,IF(D107="Biweekly",2.17,1)))</f>
      </c>
      <c r="J107" s="9">
        <f>IF(A107="","",F107&amp;"-"&amp;COUNTIF($F$2:F107,F107))</f>
      </c>
    </row>
    <row r="108">
      <c r="I108" s="11">
        <f>IF(E108="","",E108*IF(D108="Weekly",4.33,IF(D108="Biweekly",2.17,1)))</f>
      </c>
      <c r="J108" s="9">
        <f>IF(A108="","",F108&amp;"-"&amp;COUNTIF($F$2:F108,F108))</f>
      </c>
    </row>
    <row r="109">
      <c r="I109" s="11">
        <f>IF(E109="","",E109*IF(D109="Weekly",4.33,IF(D109="Biweekly",2.17,1)))</f>
      </c>
      <c r="J109" s="9">
        <f>IF(A109="","",F109&amp;"-"&amp;COUNTIF($F$2:F109,F109))</f>
      </c>
    </row>
    <row r="110">
      <c r="I110" s="11">
        <f>IF(E110="","",E110*IF(D110="Weekly",4.33,IF(D110="Biweekly",2.17,1)))</f>
      </c>
      <c r="J110" s="9">
        <f>IF(A110="","",F110&amp;"-"&amp;COUNTIF($F$2:F110,F110))</f>
      </c>
    </row>
    <row r="111">
      <c r="I111" s="11">
        <f>IF(E111="","",E111*IF(D111="Weekly",4.33,IF(D111="Biweekly",2.17,1)))</f>
      </c>
      <c r="J111" s="9">
        <f>IF(A111="","",F111&amp;"-"&amp;COUNTIF($F$2:F111,F111))</f>
      </c>
    </row>
    <row r="112">
      <c r="I112" s="11">
        <f>IF(E112="","",E112*IF(D112="Weekly",4.33,IF(D112="Biweekly",2.17,1)))</f>
      </c>
      <c r="J112" s="9">
        <f>IF(A112="","",F112&amp;"-"&amp;COUNTIF($F$2:F112,F112))</f>
      </c>
    </row>
    <row r="113">
      <c r="I113" s="11">
        <f>IF(E113="","",E113*IF(D113="Weekly",4.33,IF(D113="Biweekly",2.17,1)))</f>
      </c>
      <c r="J113" s="9">
        <f>IF(A113="","",F113&amp;"-"&amp;COUNTIF($F$2:F113,F113))</f>
      </c>
    </row>
    <row r="114">
      <c r="I114" s="11">
        <f>IF(E114="","",E114*IF(D114="Weekly",4.33,IF(D114="Biweekly",2.17,1)))</f>
      </c>
      <c r="J114" s="9">
        <f>IF(A114="","",F114&amp;"-"&amp;COUNTIF($F$2:F114,F114))</f>
      </c>
    </row>
    <row r="115">
      <c r="I115" s="11">
        <f>IF(E115="","",E115*IF(D115="Weekly",4.33,IF(D115="Biweekly",2.17,1)))</f>
      </c>
      <c r="J115" s="9">
        <f>IF(A115="","",F115&amp;"-"&amp;COUNTIF($F$2:F115,F115))</f>
      </c>
    </row>
    <row r="116">
      <c r="I116" s="11">
        <f>IF(E116="","",E116*IF(D116="Weekly",4.33,IF(D116="Biweekly",2.17,1)))</f>
      </c>
      <c r="J116" s="9">
        <f>IF(A116="","",F116&amp;"-"&amp;COUNTIF($F$2:F116,F116))</f>
      </c>
    </row>
    <row r="117">
      <c r="I117" s="11">
        <f>IF(E117="","",E117*IF(D117="Weekly",4.33,IF(D117="Biweekly",2.17,1)))</f>
      </c>
      <c r="J117" s="9">
        <f>IF(A117="","",F117&amp;"-"&amp;COUNTIF($F$2:F117,F117))</f>
      </c>
    </row>
    <row r="118">
      <c r="I118" s="11">
        <f>IF(E118="","",E118*IF(D118="Weekly",4.33,IF(D118="Biweekly",2.17,1)))</f>
      </c>
      <c r="J118" s="9">
        <f>IF(A118="","",F118&amp;"-"&amp;COUNTIF($F$2:F118,F118))</f>
      </c>
    </row>
    <row r="119">
      <c r="I119" s="11">
        <f>IF(E119="","",E119*IF(D119="Weekly",4.33,IF(D119="Biweekly",2.17,1)))</f>
      </c>
      <c r="J119" s="9">
        <f>IF(A119="","",F119&amp;"-"&amp;COUNTIF($F$2:F119,F119))</f>
      </c>
    </row>
    <row r="120">
      <c r="I120" s="11">
        <f>IF(E120="","",E120*IF(D120="Weekly",4.33,IF(D120="Biweekly",2.17,1)))</f>
      </c>
      <c r="J120" s="9">
        <f>IF(A120="","",F120&amp;"-"&amp;COUNTIF($F$2:F120,F120))</f>
      </c>
    </row>
    <row r="121">
      <c r="I121" s="11">
        <f>IF(E121="","",E121*IF(D121="Weekly",4.33,IF(D121="Biweekly",2.17,1)))</f>
      </c>
      <c r="J121" s="9">
        <f>IF(A121="","",F121&amp;"-"&amp;COUNTIF($F$2:F121,F121))</f>
      </c>
    </row>
    <row r="122">
      <c r="I122" s="11">
        <f>IF(E122="","",E122*IF(D122="Weekly",4.33,IF(D122="Biweekly",2.17,1)))</f>
      </c>
      <c r="J122" s="9">
        <f>IF(A122="","",F122&amp;"-"&amp;COUNTIF($F$2:F122,F122))</f>
      </c>
    </row>
    <row r="123">
      <c r="I123" s="11">
        <f>IF(E123="","",E123*IF(D123="Weekly",4.33,IF(D123="Biweekly",2.17,1)))</f>
      </c>
      <c r="J123" s="9">
        <f>IF(A123="","",F123&amp;"-"&amp;COUNTIF($F$2:F123,F123))</f>
      </c>
    </row>
    <row r="124">
      <c r="I124" s="11">
        <f>IF(E124="","",E124*IF(D124="Weekly",4.33,IF(D124="Biweekly",2.17,1)))</f>
      </c>
      <c r="J124" s="9">
        <f>IF(A124="","",F124&amp;"-"&amp;COUNTIF($F$2:F124,F124))</f>
      </c>
    </row>
    <row r="125">
      <c r="I125" s="11">
        <f>IF(E125="","",E125*IF(D125="Weekly",4.33,IF(D125="Biweekly",2.17,1)))</f>
      </c>
      <c r="J125" s="9">
        <f>IF(A125="","",F125&amp;"-"&amp;COUNTIF($F$2:F125,F125))</f>
      </c>
    </row>
    <row r="126">
      <c r="I126" s="11">
        <f>IF(E126="","",E126*IF(D126="Weekly",4.33,IF(D126="Biweekly",2.17,1)))</f>
      </c>
      <c r="J126" s="9">
        <f>IF(A126="","",F126&amp;"-"&amp;COUNTIF($F$2:F126,F126))</f>
      </c>
    </row>
    <row r="127">
      <c r="I127" s="11">
        <f>IF(E127="","",E127*IF(D127="Weekly",4.33,IF(D127="Biweekly",2.17,1)))</f>
      </c>
      <c r="J127" s="9">
        <f>IF(A127="","",F127&amp;"-"&amp;COUNTIF($F$2:F127,F127))</f>
      </c>
    </row>
    <row r="128">
      <c r="I128" s="11">
        <f>IF(E128="","",E128*IF(D128="Weekly",4.33,IF(D128="Biweekly",2.17,1)))</f>
      </c>
      <c r="J128" s="9">
        <f>IF(A128="","",F128&amp;"-"&amp;COUNTIF($F$2:F128,F128))</f>
      </c>
    </row>
    <row r="129">
      <c r="I129" s="11">
        <f>IF(E129="","",E129*IF(D129="Weekly",4.33,IF(D129="Biweekly",2.17,1)))</f>
      </c>
      <c r="J129" s="9">
        <f>IF(A129="","",F129&amp;"-"&amp;COUNTIF($F$2:F129,F129))</f>
      </c>
    </row>
    <row r="130">
      <c r="I130" s="11">
        <f>IF(E130="","",E130*IF(D130="Weekly",4.33,IF(D130="Biweekly",2.17,1)))</f>
      </c>
      <c r="J130" s="9">
        <f>IF(A130="","",F130&amp;"-"&amp;COUNTIF($F$2:F130,F130))</f>
      </c>
    </row>
    <row r="131">
      <c r="I131" s="11">
        <f>IF(E131="","",E131*IF(D131="Weekly",4.33,IF(D131="Biweekly",2.17,1)))</f>
      </c>
      <c r="J131" s="9">
        <f>IF(A131="","",F131&amp;"-"&amp;COUNTIF($F$2:F131,F131))</f>
      </c>
    </row>
    <row r="132">
      <c r="I132" s="11">
        <f>IF(E132="","",E132*IF(D132="Weekly",4.33,IF(D132="Biweekly",2.17,1)))</f>
      </c>
      <c r="J132" s="9">
        <f>IF(A132="","",F132&amp;"-"&amp;COUNTIF($F$2:F132,F132))</f>
      </c>
    </row>
    <row r="133">
      <c r="I133" s="11">
        <f>IF(E133="","",E133*IF(D133="Weekly",4.33,IF(D133="Biweekly",2.17,1)))</f>
      </c>
      <c r="J133" s="9">
        <f>IF(A133="","",F133&amp;"-"&amp;COUNTIF($F$2:F133,F133))</f>
      </c>
    </row>
    <row r="134">
      <c r="I134" s="11">
        <f>IF(E134="","",E134*IF(D134="Weekly",4.33,IF(D134="Biweekly",2.17,1)))</f>
      </c>
      <c r="J134" s="9">
        <f>IF(A134="","",F134&amp;"-"&amp;COUNTIF($F$2:F134,F134))</f>
      </c>
    </row>
    <row r="135">
      <c r="I135" s="11">
        <f>IF(E135="","",E135*IF(D135="Weekly",4.33,IF(D135="Biweekly",2.17,1)))</f>
      </c>
      <c r="J135" s="9">
        <f>IF(A135="","",F135&amp;"-"&amp;COUNTIF($F$2:F135,F135))</f>
      </c>
    </row>
    <row r="136">
      <c r="I136" s="11">
        <f>IF(E136="","",E136*IF(D136="Weekly",4.33,IF(D136="Biweekly",2.17,1)))</f>
      </c>
      <c r="J136" s="9">
        <f>IF(A136="","",F136&amp;"-"&amp;COUNTIF($F$2:F136,F136))</f>
      </c>
    </row>
    <row r="137">
      <c r="I137" s="11">
        <f>IF(E137="","",E137*IF(D137="Weekly",4.33,IF(D137="Biweekly",2.17,1)))</f>
      </c>
      <c r="J137" s="9">
        <f>IF(A137="","",F137&amp;"-"&amp;COUNTIF($F$2:F137,F137))</f>
      </c>
    </row>
    <row r="138">
      <c r="I138" s="11">
        <f>IF(E138="","",E138*IF(D138="Weekly",4.33,IF(D138="Biweekly",2.17,1)))</f>
      </c>
      <c r="J138" s="9">
        <f>IF(A138="","",F138&amp;"-"&amp;COUNTIF($F$2:F138,F138))</f>
      </c>
    </row>
    <row r="139">
      <c r="I139" s="11">
        <f>IF(E139="","",E139*IF(D139="Weekly",4.33,IF(D139="Biweekly",2.17,1)))</f>
      </c>
      <c r="J139" s="9">
        <f>IF(A139="","",F139&amp;"-"&amp;COUNTIF($F$2:F139,F139))</f>
      </c>
    </row>
    <row r="140">
      <c r="I140" s="11">
        <f>IF(E140="","",E140*IF(D140="Weekly",4.33,IF(D140="Biweekly",2.17,1)))</f>
      </c>
      <c r="J140" s="9">
        <f>IF(A140="","",F140&amp;"-"&amp;COUNTIF($F$2:F140,F140))</f>
      </c>
    </row>
    <row r="141">
      <c r="I141" s="11">
        <f>IF(E141="","",E141*IF(D141="Weekly",4.33,IF(D141="Biweekly",2.17,1)))</f>
      </c>
      <c r="J141" s="9">
        <f>IF(A141="","",F141&amp;"-"&amp;COUNTIF($F$2:F141,F141))</f>
      </c>
    </row>
    <row r="142">
      <c r="I142" s="11">
        <f>IF(E142="","",E142*IF(D142="Weekly",4.33,IF(D142="Biweekly",2.17,1)))</f>
      </c>
      <c r="J142" s="9">
        <f>IF(A142="","",F142&amp;"-"&amp;COUNTIF($F$2:F142,F142))</f>
      </c>
    </row>
    <row r="143">
      <c r="I143" s="11">
        <f>IF(E143="","",E143*IF(D143="Weekly",4.33,IF(D143="Biweekly",2.17,1)))</f>
      </c>
      <c r="J143" s="9">
        <f>IF(A143="","",F143&amp;"-"&amp;COUNTIF($F$2:F143,F143))</f>
      </c>
    </row>
    <row r="144">
      <c r="I144" s="11">
        <f>IF(E144="","",E144*IF(D144="Weekly",4.33,IF(D144="Biweekly",2.17,1)))</f>
      </c>
      <c r="J144" s="9">
        <f>IF(A144="","",F144&amp;"-"&amp;COUNTIF($F$2:F144,F144))</f>
      </c>
    </row>
    <row r="145">
      <c r="I145" s="11">
        <f>IF(E145="","",E145*IF(D145="Weekly",4.33,IF(D145="Biweekly",2.17,1)))</f>
      </c>
      <c r="J145" s="9">
        <f>IF(A145="","",F145&amp;"-"&amp;COUNTIF($F$2:F145,F145))</f>
      </c>
    </row>
    <row r="146">
      <c r="I146" s="11">
        <f>IF(E146="","",E146*IF(D146="Weekly",4.33,IF(D146="Biweekly",2.17,1)))</f>
      </c>
      <c r="J146" s="9">
        <f>IF(A146="","",F146&amp;"-"&amp;COUNTIF($F$2:F146,F146))</f>
      </c>
    </row>
    <row r="147">
      <c r="I147" s="11">
        <f>IF(E147="","",E147*IF(D147="Weekly",4.33,IF(D147="Biweekly",2.17,1)))</f>
      </c>
      <c r="J147" s="9">
        <f>IF(A147="","",F147&amp;"-"&amp;COUNTIF($F$2:F147,F147))</f>
      </c>
    </row>
    <row r="148">
      <c r="I148" s="11">
        <f>IF(E148="","",E148*IF(D148="Weekly",4.33,IF(D148="Biweekly",2.17,1)))</f>
      </c>
      <c r="J148" s="9">
        <f>IF(A148="","",F148&amp;"-"&amp;COUNTIF($F$2:F148,F148))</f>
      </c>
    </row>
    <row r="149">
      <c r="I149" s="11">
        <f>IF(E149="","",E149*IF(D149="Weekly",4.33,IF(D149="Biweekly",2.17,1)))</f>
      </c>
      <c r="J149" s="9">
        <f>IF(A149="","",F149&amp;"-"&amp;COUNTIF($F$2:F149,F149))</f>
      </c>
    </row>
    <row r="150">
      <c r="I150" s="11">
        <f>IF(E150="","",E150*IF(D150="Weekly",4.33,IF(D150="Biweekly",2.17,1)))</f>
      </c>
      <c r="J150" s="9">
        <f>IF(A150="","",F150&amp;"-"&amp;COUNTIF($F$2:F150,F150))</f>
      </c>
    </row>
    <row r="151">
      <c r="I151" s="11">
        <f>IF(E151="","",E151*IF(D151="Weekly",4.33,IF(D151="Biweekly",2.17,1)))</f>
      </c>
      <c r="J151" s="9">
        <f>IF(A151="","",F151&amp;"-"&amp;COUNTIF($F$2:F151,F151))</f>
      </c>
    </row>
    <row r="152">
      <c r="I152" s="11">
        <f>IF(E152="","",E152*IF(D152="Weekly",4.33,IF(D152="Biweekly",2.17,1)))</f>
      </c>
      <c r="J152" s="9">
        <f>IF(A152="","",F152&amp;"-"&amp;COUNTIF($F$2:F152,F152))</f>
      </c>
    </row>
    <row r="153">
      <c r="I153" s="11">
        <f>IF(E153="","",E153*IF(D153="Weekly",4.33,IF(D153="Biweekly",2.17,1)))</f>
      </c>
      <c r="J153" s="9">
        <f>IF(A153="","",F153&amp;"-"&amp;COUNTIF($F$2:F153,F153))</f>
      </c>
    </row>
    <row r="154">
      <c r="I154" s="11">
        <f>IF(E154="","",E154*IF(D154="Weekly",4.33,IF(D154="Biweekly",2.17,1)))</f>
      </c>
      <c r="J154" s="9">
        <f>IF(A154="","",F154&amp;"-"&amp;COUNTIF($F$2:F154,F154))</f>
      </c>
    </row>
    <row r="155">
      <c r="I155" s="11">
        <f>IF(E155="","",E155*IF(D155="Weekly",4.33,IF(D155="Biweekly",2.17,1)))</f>
      </c>
      <c r="J155" s="9">
        <f>IF(A155="","",F155&amp;"-"&amp;COUNTIF($F$2:F155,F155))</f>
      </c>
    </row>
    <row r="156">
      <c r="I156" s="11">
        <f>IF(E156="","",E156*IF(D156="Weekly",4.33,IF(D156="Biweekly",2.17,1)))</f>
      </c>
      <c r="J156" s="9">
        <f>IF(A156="","",F156&amp;"-"&amp;COUNTIF($F$2:F156,F156))</f>
      </c>
    </row>
    <row r="157">
      <c r="I157" s="11">
        <f>IF(E157="","",E157*IF(D157="Weekly",4.33,IF(D157="Biweekly",2.17,1)))</f>
      </c>
      <c r="J157" s="9">
        <f>IF(A157="","",F157&amp;"-"&amp;COUNTIF($F$2:F157,F157))</f>
      </c>
    </row>
    <row r="158">
      <c r="I158" s="11">
        <f>IF(E158="","",E158*IF(D158="Weekly",4.33,IF(D158="Biweekly",2.17,1)))</f>
      </c>
      <c r="J158" s="9">
        <f>IF(A158="","",F158&amp;"-"&amp;COUNTIF($F$2:F158,F158))</f>
      </c>
    </row>
    <row r="159">
      <c r="I159" s="11">
        <f>IF(E159="","",E159*IF(D159="Weekly",4.33,IF(D159="Biweekly",2.17,1)))</f>
      </c>
      <c r="J159" s="9">
        <f>IF(A159="","",F159&amp;"-"&amp;COUNTIF($F$2:F159,F159))</f>
      </c>
    </row>
    <row r="160">
      <c r="I160" s="11">
        <f>IF(E160="","",E160*IF(D160="Weekly",4.33,IF(D160="Biweekly",2.17,1)))</f>
      </c>
      <c r="J160" s="9">
        <f>IF(A160="","",F160&amp;"-"&amp;COUNTIF($F$2:F160,F160))</f>
      </c>
    </row>
    <row r="161">
      <c r="I161" s="11">
        <f>IF(E161="","",E161*IF(D161="Weekly",4.33,IF(D161="Biweekly",2.17,1)))</f>
      </c>
      <c r="J161" s="9">
        <f>IF(A161="","",F161&amp;"-"&amp;COUNTIF($F$2:F161,F161))</f>
      </c>
    </row>
    <row r="162">
      <c r="I162" s="11">
        <f>IF(E162="","",E162*IF(D162="Weekly",4.33,IF(D162="Biweekly",2.17,1)))</f>
      </c>
      <c r="J162" s="9">
        <f>IF(A162="","",F162&amp;"-"&amp;COUNTIF($F$2:F162,F162))</f>
      </c>
    </row>
    <row r="163">
      <c r="I163" s="11">
        <f>IF(E163="","",E163*IF(D163="Weekly",4.33,IF(D163="Biweekly",2.17,1)))</f>
      </c>
      <c r="J163" s="9">
        <f>IF(A163="","",F163&amp;"-"&amp;COUNTIF($F$2:F163,F163))</f>
      </c>
    </row>
    <row r="164">
      <c r="I164" s="11">
        <f>IF(E164="","",E164*IF(D164="Weekly",4.33,IF(D164="Biweekly",2.17,1)))</f>
      </c>
      <c r="J164" s="9">
        <f>IF(A164="","",F164&amp;"-"&amp;COUNTIF($F$2:F164,F164))</f>
      </c>
    </row>
    <row r="165">
      <c r="I165" s="11">
        <f>IF(E165="","",E165*IF(D165="Weekly",4.33,IF(D165="Biweekly",2.17,1)))</f>
      </c>
      <c r="J165" s="9">
        <f>IF(A165="","",F165&amp;"-"&amp;COUNTIF($F$2:F165,F165))</f>
      </c>
    </row>
    <row r="166">
      <c r="I166" s="11">
        <f>IF(E166="","",E166*IF(D166="Weekly",4.33,IF(D166="Biweekly",2.17,1)))</f>
      </c>
      <c r="J166" s="9">
        <f>IF(A166="","",F166&amp;"-"&amp;COUNTIF($F$2:F166,F166))</f>
      </c>
    </row>
    <row r="167">
      <c r="I167" s="11">
        <f>IF(E167="","",E167*IF(D167="Weekly",4.33,IF(D167="Biweekly",2.17,1)))</f>
      </c>
      <c r="J167" s="9">
        <f>IF(A167="","",F167&amp;"-"&amp;COUNTIF($F$2:F167,F167))</f>
      </c>
    </row>
    <row r="168">
      <c r="I168" s="11">
        <f>IF(E168="","",E168*IF(D168="Weekly",4.33,IF(D168="Biweekly",2.17,1)))</f>
      </c>
      <c r="J168" s="9">
        <f>IF(A168="","",F168&amp;"-"&amp;COUNTIF($F$2:F168,F168))</f>
      </c>
    </row>
    <row r="169">
      <c r="I169" s="11">
        <f>IF(E169="","",E169*IF(D169="Weekly",4.33,IF(D169="Biweekly",2.17,1)))</f>
      </c>
      <c r="J169" s="9">
        <f>IF(A169="","",F169&amp;"-"&amp;COUNTIF($F$2:F169,F169))</f>
      </c>
    </row>
    <row r="170">
      <c r="I170" s="11">
        <f>IF(E170="","",E170*IF(D170="Weekly",4.33,IF(D170="Biweekly",2.17,1)))</f>
      </c>
      <c r="J170" s="9">
        <f>IF(A170="","",F170&amp;"-"&amp;COUNTIF($F$2:F170,F170))</f>
      </c>
    </row>
    <row r="171">
      <c r="I171" s="11">
        <f>IF(E171="","",E171*IF(D171="Weekly",4.33,IF(D171="Biweekly",2.17,1)))</f>
      </c>
      <c r="J171" s="9">
        <f>IF(A171="","",F171&amp;"-"&amp;COUNTIF($F$2:F171,F171))</f>
      </c>
    </row>
    <row r="172">
      <c r="I172" s="11">
        <f>IF(E172="","",E172*IF(D172="Weekly",4.33,IF(D172="Biweekly",2.17,1)))</f>
      </c>
      <c r="J172" s="9">
        <f>IF(A172="","",F172&amp;"-"&amp;COUNTIF($F$2:F172,F172))</f>
      </c>
    </row>
    <row r="173">
      <c r="I173" s="11">
        <f>IF(E173="","",E173*IF(D173="Weekly",4.33,IF(D173="Biweekly",2.17,1)))</f>
      </c>
      <c r="J173" s="9">
        <f>IF(A173="","",F173&amp;"-"&amp;COUNTIF($F$2:F173,F173))</f>
      </c>
    </row>
    <row r="174">
      <c r="I174" s="11">
        <f>IF(E174="","",E174*IF(D174="Weekly",4.33,IF(D174="Biweekly",2.17,1)))</f>
      </c>
      <c r="J174" s="9">
        <f>IF(A174="","",F174&amp;"-"&amp;COUNTIF($F$2:F174,F174))</f>
      </c>
    </row>
    <row r="175">
      <c r="I175" s="11">
        <f>IF(E175="","",E175*IF(D175="Weekly",4.33,IF(D175="Biweekly",2.17,1)))</f>
      </c>
      <c r="J175" s="9">
        <f>IF(A175="","",F175&amp;"-"&amp;COUNTIF($F$2:F175,F175))</f>
      </c>
    </row>
    <row r="176">
      <c r="I176" s="11">
        <f>IF(E176="","",E176*IF(D176="Weekly",4.33,IF(D176="Biweekly",2.17,1)))</f>
      </c>
      <c r="J176" s="9">
        <f>IF(A176="","",F176&amp;"-"&amp;COUNTIF($F$2:F176,F176))</f>
      </c>
    </row>
    <row r="177">
      <c r="I177" s="11">
        <f>IF(E177="","",E177*IF(D177="Weekly",4.33,IF(D177="Biweekly",2.17,1)))</f>
      </c>
      <c r="J177" s="9">
        <f>IF(A177="","",F177&amp;"-"&amp;COUNTIF($F$2:F177,F177))</f>
      </c>
    </row>
    <row r="178">
      <c r="I178" s="11">
        <f>IF(E178="","",E178*IF(D178="Weekly",4.33,IF(D178="Biweekly",2.17,1)))</f>
      </c>
      <c r="J178" s="9">
        <f>IF(A178="","",F178&amp;"-"&amp;COUNTIF($F$2:F178,F178))</f>
      </c>
    </row>
    <row r="179">
      <c r="I179" s="11">
        <f>IF(E179="","",E179*IF(D179="Weekly",4.33,IF(D179="Biweekly",2.17,1)))</f>
      </c>
      <c r="J179" s="9">
        <f>IF(A179="","",F179&amp;"-"&amp;COUNTIF($F$2:F179,F179))</f>
      </c>
    </row>
    <row r="180">
      <c r="I180" s="11">
        <f>IF(E180="","",E180*IF(D180="Weekly",4.33,IF(D180="Biweekly",2.17,1)))</f>
      </c>
      <c r="J180" s="9">
        <f>IF(A180="","",F180&amp;"-"&amp;COUNTIF($F$2:F180,F180))</f>
      </c>
    </row>
    <row r="181">
      <c r="I181" s="11">
        <f>IF(E181="","",E181*IF(D181="Weekly",4.33,IF(D181="Biweekly",2.17,1)))</f>
      </c>
      <c r="J181" s="9">
        <f>IF(A181="","",F181&amp;"-"&amp;COUNTIF($F$2:F181,F181))</f>
      </c>
    </row>
    <row r="182">
      <c r="I182" s="11">
        <f>IF(E182="","",E182*IF(D182="Weekly",4.33,IF(D182="Biweekly",2.17,1)))</f>
      </c>
      <c r="J182" s="9">
        <f>IF(A182="","",F182&amp;"-"&amp;COUNTIF($F$2:F182,F182))</f>
      </c>
    </row>
    <row r="183">
      <c r="I183" s="11">
        <f>IF(E183="","",E183*IF(D183="Weekly",4.33,IF(D183="Biweekly",2.17,1)))</f>
      </c>
      <c r="J183" s="9">
        <f>IF(A183="","",F183&amp;"-"&amp;COUNTIF($F$2:F183,F183))</f>
      </c>
    </row>
    <row r="184">
      <c r="I184" s="11">
        <f>IF(E184="","",E184*IF(D184="Weekly",4.33,IF(D184="Biweekly",2.17,1)))</f>
      </c>
      <c r="J184" s="9">
        <f>IF(A184="","",F184&amp;"-"&amp;COUNTIF($F$2:F184,F184))</f>
      </c>
    </row>
    <row r="185">
      <c r="I185" s="11">
        <f>IF(E185="","",E185*IF(D185="Weekly",4.33,IF(D185="Biweekly",2.17,1)))</f>
      </c>
      <c r="J185" s="9">
        <f>IF(A185="","",F185&amp;"-"&amp;COUNTIF($F$2:F185,F185))</f>
      </c>
    </row>
    <row r="186">
      <c r="I186" s="11">
        <f>IF(E186="","",E186*IF(D186="Weekly",4.33,IF(D186="Biweekly",2.17,1)))</f>
      </c>
      <c r="J186" s="9">
        <f>IF(A186="","",F186&amp;"-"&amp;COUNTIF($F$2:F186,F186))</f>
      </c>
    </row>
    <row r="187">
      <c r="I187" s="11">
        <f>IF(E187="","",E187*IF(D187="Weekly",4.33,IF(D187="Biweekly",2.17,1)))</f>
      </c>
      <c r="J187" s="9">
        <f>IF(A187="","",F187&amp;"-"&amp;COUNTIF($F$2:F187,F187))</f>
      </c>
    </row>
    <row r="188">
      <c r="I188" s="11">
        <f>IF(E188="","",E188*IF(D188="Weekly",4.33,IF(D188="Biweekly",2.17,1)))</f>
      </c>
      <c r="J188" s="9">
        <f>IF(A188="","",F188&amp;"-"&amp;COUNTIF($F$2:F188,F188))</f>
      </c>
    </row>
    <row r="189">
      <c r="I189" s="11">
        <f>IF(E189="","",E189*IF(D189="Weekly",4.33,IF(D189="Biweekly",2.17,1)))</f>
      </c>
      <c r="J189" s="9">
        <f>IF(A189="","",F189&amp;"-"&amp;COUNTIF($F$2:F189,F189))</f>
      </c>
    </row>
    <row r="190">
      <c r="I190" s="11">
        <f>IF(E190="","",E190*IF(D190="Weekly",4.33,IF(D190="Biweekly",2.17,1)))</f>
      </c>
      <c r="J190" s="9">
        <f>IF(A190="","",F190&amp;"-"&amp;COUNTIF($F$2:F190,F190))</f>
      </c>
    </row>
    <row r="191">
      <c r="I191" s="11">
        <f>IF(E191="","",E191*IF(D191="Weekly",4.33,IF(D191="Biweekly",2.17,1)))</f>
      </c>
      <c r="J191" s="9">
        <f>IF(A191="","",F191&amp;"-"&amp;COUNTIF($F$2:F191,F191))</f>
      </c>
    </row>
    <row r="192">
      <c r="I192" s="11">
        <f>IF(E192="","",E192*IF(D192="Weekly",4.33,IF(D192="Biweekly",2.17,1)))</f>
      </c>
      <c r="J192" s="9">
        <f>IF(A192="","",F192&amp;"-"&amp;COUNTIF($F$2:F192,F192))</f>
      </c>
    </row>
    <row r="193">
      <c r="I193" s="11">
        <f>IF(E193="","",E193*IF(D193="Weekly",4.33,IF(D193="Biweekly",2.17,1)))</f>
      </c>
      <c r="J193" s="9">
        <f>IF(A193="","",F193&amp;"-"&amp;COUNTIF($F$2:F193,F193))</f>
      </c>
    </row>
    <row r="194">
      <c r="I194" s="11">
        <f>IF(E194="","",E194*IF(D194="Weekly",4.33,IF(D194="Biweekly",2.17,1)))</f>
      </c>
      <c r="J194" s="9">
        <f>IF(A194="","",F194&amp;"-"&amp;COUNTIF($F$2:F194,F194))</f>
      </c>
    </row>
    <row r="195">
      <c r="I195" s="11">
        <f>IF(E195="","",E195*IF(D195="Weekly",4.33,IF(D195="Biweekly",2.17,1)))</f>
      </c>
      <c r="J195" s="9">
        <f>IF(A195="","",F195&amp;"-"&amp;COUNTIF($F$2:F195,F195))</f>
      </c>
    </row>
    <row r="196">
      <c r="I196" s="11">
        <f>IF(E196="","",E196*IF(D196="Weekly",4.33,IF(D196="Biweekly",2.17,1)))</f>
      </c>
      <c r="J196" s="9">
        <f>IF(A196="","",F196&amp;"-"&amp;COUNTIF($F$2:F196,F196))</f>
      </c>
    </row>
    <row r="197">
      <c r="I197" s="11">
        <f>IF(E197="","",E197*IF(D197="Weekly",4.33,IF(D197="Biweekly",2.17,1)))</f>
      </c>
      <c r="J197" s="9">
        <f>IF(A197="","",F197&amp;"-"&amp;COUNTIF($F$2:F197,F197))</f>
      </c>
    </row>
    <row r="198">
      <c r="I198" s="11">
        <f>IF(E198="","",E198*IF(D198="Weekly",4.33,IF(D198="Biweekly",2.17,1)))</f>
      </c>
      <c r="J198" s="9">
        <f>IF(A198="","",F198&amp;"-"&amp;COUNTIF($F$2:F198,F198))</f>
      </c>
    </row>
    <row r="199">
      <c r="I199" s="11">
        <f>IF(E199="","",E199*IF(D199="Weekly",4.33,IF(D199="Biweekly",2.17,1)))</f>
      </c>
      <c r="J199" s="9">
        <f>IF(A199="","",F199&amp;"-"&amp;COUNTIF($F$2:F199,F199))</f>
      </c>
    </row>
    <row r="200">
      <c r="I200" s="11">
        <f>IF(E200="","",E200*IF(D200="Weekly",4.33,IF(D200="Biweekly",2.17,1)))</f>
      </c>
      <c r="J200" s="9">
        <f>IF(A200="","",F200&amp;"-"&amp;COUNTIF($F$2:F200,F200))</f>
      </c>
    </row>
  </sheetData>
  <autoFilter ref="A1:J200"/>
  <dataValidations count="3">
    <dataValidation type="list" allowBlank="1" showInputMessage="1" showErrorMessage="1" sqref="C2:C200">
      <formula1>"North,South,East,West,Core"</formula1>
    </dataValidation>
    <dataValidation type="list" allowBlank="1" showInputMessage="1" showErrorMessage="1" sqref="D2:D200">
      <formula1>"Weekly,Biweekly,Monthly"</formula1>
    </dataValidation>
    <dataValidation type="list" allowBlank="1" showInputMessage="1" showErrorMessage="1" sqref="F2:F200">
      <formula1>"Mon,Tue,Wed,Thu,Fri,Sat"</formula1>
    </dataValidation>
  </dataValidations>
</worksheet>
</file>

<file path=xl/worksheets/sheet3.xml><?xml version="1.0" encoding="utf-8"?>
<worksheet xmlns="http://schemas.openxmlformats.org/spreadsheetml/2006/main">
  <sheetViews>
    <sheetView workbookViewId="0"/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>
      <c r="A1" s="2" t="inlineStr">
        <is>
          <t xml:space="preserve">Mon</t>
        </is>
      </c>
      <c r="B1" s="2" t="inlineStr">
        <is>
          <t xml:space="preserve">Tue</t>
        </is>
      </c>
      <c r="C1" s="2" t="inlineStr">
        <is>
          <t xml:space="preserve">Wed</t>
        </is>
      </c>
      <c r="D1" s="2" t="inlineStr">
        <is>
          <t xml:space="preserve">Thu</t>
        </is>
      </c>
      <c r="E1" s="2" t="inlineStr">
        <is>
          <t xml:space="preserve">Fri</t>
        </is>
      </c>
      <c r="F1" s="2" t="inlineStr">
        <is>
          <t xml:space="preserve">Sat</t>
        </is>
      </c>
    </row>
    <row r="2">
      <c r="A2" s="10">
        <f>SUMIFS(Clients!$G$2:$G$200,Clients!$F$2:$F$200,A$1)</f>
      </c>
      <c r="B2" s="10">
        <f>SUMIFS(Clients!$G$2:$G$200,Clients!$F$2:$F$200,B$1)</f>
      </c>
      <c r="C2" s="10">
        <f>SUMIFS(Clients!$G$2:$G$200,Clients!$F$2:$F$200,C$1)</f>
      </c>
      <c r="D2" s="10">
        <f>SUMIFS(Clients!$G$2:$G$200,Clients!$F$2:$F$200,D$1)</f>
      </c>
      <c r="E2" s="10">
        <f>SUMIFS(Clients!$G$2:$G$200,Clients!$F$2:$F$200,E$1)</f>
      </c>
      <c r="F2" s="10">
        <f>SUMIFS(Clients!$G$2:$G$200,Clients!$F$2:$F$200,F$1)</f>
      </c>
    </row>
    <row r="3">
      <c r="A3" s="9">
        <f>IFERROR(INDEX(Clients!$A$2:$A$200,MATCH(A$1&amp;"-"&amp;(ROW()-2),Clients!$J$2:$J$200,0)),"")</f>
      </c>
      <c r="B3" s="9">
        <f>IFERROR(INDEX(Clients!$A$2:$A$200,MATCH(B$1&amp;"-"&amp;(ROW()-2),Clients!$J$2:$J$200,0)),"")</f>
      </c>
      <c r="C3" s="9">
        <f>IFERROR(INDEX(Clients!$A$2:$A$200,MATCH(C$1&amp;"-"&amp;(ROW()-2),Clients!$J$2:$J$200,0)),"")</f>
      </c>
      <c r="D3" s="9">
        <f>IFERROR(INDEX(Clients!$A$2:$A$200,MATCH(D$1&amp;"-"&amp;(ROW()-2),Clients!$J$2:$J$200,0)),"")</f>
      </c>
      <c r="E3" s="9">
        <f>IFERROR(INDEX(Clients!$A$2:$A$200,MATCH(E$1&amp;"-"&amp;(ROW()-2),Clients!$J$2:$J$200,0)),"")</f>
      </c>
      <c r="F3" s="9">
        <f>IFERROR(INDEX(Clients!$A$2:$A$200,MATCH(F$1&amp;"-"&amp;(ROW()-2),Clients!$J$2:$J$200,0)),"")</f>
      </c>
    </row>
    <row r="4">
      <c r="A4" s="9">
        <f>IFERROR(INDEX(Clients!$A$2:$A$200,MATCH(A$1&amp;"-"&amp;(ROW()-2),Clients!$J$2:$J$200,0)),"")</f>
      </c>
      <c r="B4" s="9">
        <f>IFERROR(INDEX(Clients!$A$2:$A$200,MATCH(B$1&amp;"-"&amp;(ROW()-2),Clients!$J$2:$J$200,0)),"")</f>
      </c>
      <c r="C4" s="9">
        <f>IFERROR(INDEX(Clients!$A$2:$A$200,MATCH(C$1&amp;"-"&amp;(ROW()-2),Clients!$J$2:$J$200,0)),"")</f>
      </c>
      <c r="D4" s="9">
        <f>IFERROR(INDEX(Clients!$A$2:$A$200,MATCH(D$1&amp;"-"&amp;(ROW()-2),Clients!$J$2:$J$200,0)),"")</f>
      </c>
      <c r="E4" s="9">
        <f>IFERROR(INDEX(Clients!$A$2:$A$200,MATCH(E$1&amp;"-"&amp;(ROW()-2),Clients!$J$2:$J$200,0)),"")</f>
      </c>
      <c r="F4" s="9">
        <f>IFERROR(INDEX(Clients!$A$2:$A$200,MATCH(F$1&amp;"-"&amp;(ROW()-2),Clients!$J$2:$J$200,0)),"")</f>
      </c>
    </row>
    <row r="5">
      <c r="A5" s="9">
        <f>IFERROR(INDEX(Clients!$A$2:$A$200,MATCH(A$1&amp;"-"&amp;(ROW()-2),Clients!$J$2:$J$200,0)),"")</f>
      </c>
      <c r="B5" s="9">
        <f>IFERROR(INDEX(Clients!$A$2:$A$200,MATCH(B$1&amp;"-"&amp;(ROW()-2),Clients!$J$2:$J$200,0)),"")</f>
      </c>
      <c r="C5" s="9">
        <f>IFERROR(INDEX(Clients!$A$2:$A$200,MATCH(C$1&amp;"-"&amp;(ROW()-2),Clients!$J$2:$J$200,0)),"")</f>
      </c>
      <c r="D5" s="9">
        <f>IFERROR(INDEX(Clients!$A$2:$A$200,MATCH(D$1&amp;"-"&amp;(ROW()-2),Clients!$J$2:$J$200,0)),"")</f>
      </c>
      <c r="E5" s="9">
        <f>IFERROR(INDEX(Clients!$A$2:$A$200,MATCH(E$1&amp;"-"&amp;(ROW()-2),Clients!$J$2:$J$200,0)),"")</f>
      </c>
      <c r="F5" s="9">
        <f>IFERROR(INDEX(Clients!$A$2:$A$200,MATCH(F$1&amp;"-"&amp;(ROW()-2),Clients!$J$2:$J$200,0)),"")</f>
      </c>
    </row>
    <row r="6">
      <c r="A6" s="9">
        <f>IFERROR(INDEX(Clients!$A$2:$A$200,MATCH(A$1&amp;"-"&amp;(ROW()-2),Clients!$J$2:$J$200,0)),"")</f>
      </c>
      <c r="B6" s="9">
        <f>IFERROR(INDEX(Clients!$A$2:$A$200,MATCH(B$1&amp;"-"&amp;(ROW()-2),Clients!$J$2:$J$200,0)),"")</f>
      </c>
      <c r="C6" s="9">
        <f>IFERROR(INDEX(Clients!$A$2:$A$200,MATCH(C$1&amp;"-"&amp;(ROW()-2),Clients!$J$2:$J$200,0)),"")</f>
      </c>
      <c r="D6" s="9">
        <f>IFERROR(INDEX(Clients!$A$2:$A$200,MATCH(D$1&amp;"-"&amp;(ROW()-2),Clients!$J$2:$J$200,0)),"")</f>
      </c>
      <c r="E6" s="9">
        <f>IFERROR(INDEX(Clients!$A$2:$A$200,MATCH(E$1&amp;"-"&amp;(ROW()-2),Clients!$J$2:$J$200,0)),"")</f>
      </c>
      <c r="F6" s="9">
        <f>IFERROR(INDEX(Clients!$A$2:$A$200,MATCH(F$1&amp;"-"&amp;(ROW()-2),Clients!$J$2:$J$200,0)),"")</f>
      </c>
    </row>
    <row r="7">
      <c r="A7" s="9">
        <f>IFERROR(INDEX(Clients!$A$2:$A$200,MATCH(A$1&amp;"-"&amp;(ROW()-2),Clients!$J$2:$J$200,0)),"")</f>
      </c>
      <c r="B7" s="9">
        <f>IFERROR(INDEX(Clients!$A$2:$A$200,MATCH(B$1&amp;"-"&amp;(ROW()-2),Clients!$J$2:$J$200,0)),"")</f>
      </c>
      <c r="C7" s="9">
        <f>IFERROR(INDEX(Clients!$A$2:$A$200,MATCH(C$1&amp;"-"&amp;(ROW()-2),Clients!$J$2:$J$200,0)),"")</f>
      </c>
      <c r="D7" s="9">
        <f>IFERROR(INDEX(Clients!$A$2:$A$200,MATCH(D$1&amp;"-"&amp;(ROW()-2),Clients!$J$2:$J$200,0)),"")</f>
      </c>
      <c r="E7" s="9">
        <f>IFERROR(INDEX(Clients!$A$2:$A$200,MATCH(E$1&amp;"-"&amp;(ROW()-2),Clients!$J$2:$J$200,0)),"")</f>
      </c>
      <c r="F7" s="9">
        <f>IFERROR(INDEX(Clients!$A$2:$A$200,MATCH(F$1&amp;"-"&amp;(ROW()-2),Clients!$J$2:$J$200,0)),"")</f>
      </c>
    </row>
    <row r="8">
      <c r="A8" s="9">
        <f>IFERROR(INDEX(Clients!$A$2:$A$200,MATCH(A$1&amp;"-"&amp;(ROW()-2),Clients!$J$2:$J$200,0)),"")</f>
      </c>
      <c r="B8" s="9">
        <f>IFERROR(INDEX(Clients!$A$2:$A$200,MATCH(B$1&amp;"-"&amp;(ROW()-2),Clients!$J$2:$J$200,0)),"")</f>
      </c>
      <c r="C8" s="9">
        <f>IFERROR(INDEX(Clients!$A$2:$A$200,MATCH(C$1&amp;"-"&amp;(ROW()-2),Clients!$J$2:$J$200,0)),"")</f>
      </c>
      <c r="D8" s="9">
        <f>IFERROR(INDEX(Clients!$A$2:$A$200,MATCH(D$1&amp;"-"&amp;(ROW()-2),Clients!$J$2:$J$200,0)),"")</f>
      </c>
      <c r="E8" s="9">
        <f>IFERROR(INDEX(Clients!$A$2:$A$200,MATCH(E$1&amp;"-"&amp;(ROW()-2),Clients!$J$2:$J$200,0)),"")</f>
      </c>
      <c r="F8" s="9">
        <f>IFERROR(INDEX(Clients!$A$2:$A$200,MATCH(F$1&amp;"-"&amp;(ROW()-2),Clients!$J$2:$J$200,0)),"")</f>
      </c>
    </row>
    <row r="9">
      <c r="A9" s="9">
        <f>IFERROR(INDEX(Clients!$A$2:$A$200,MATCH(A$1&amp;"-"&amp;(ROW()-2),Clients!$J$2:$J$200,0)),"")</f>
      </c>
      <c r="B9" s="9">
        <f>IFERROR(INDEX(Clients!$A$2:$A$200,MATCH(B$1&amp;"-"&amp;(ROW()-2),Clients!$J$2:$J$200,0)),"")</f>
      </c>
      <c r="C9" s="9">
        <f>IFERROR(INDEX(Clients!$A$2:$A$200,MATCH(C$1&amp;"-"&amp;(ROW()-2),Clients!$J$2:$J$200,0)),"")</f>
      </c>
      <c r="D9" s="9">
        <f>IFERROR(INDEX(Clients!$A$2:$A$200,MATCH(D$1&amp;"-"&amp;(ROW()-2),Clients!$J$2:$J$200,0)),"")</f>
      </c>
      <c r="E9" s="9">
        <f>IFERROR(INDEX(Clients!$A$2:$A$200,MATCH(E$1&amp;"-"&amp;(ROW()-2),Clients!$J$2:$J$200,0)),"")</f>
      </c>
      <c r="F9" s="9">
        <f>IFERROR(INDEX(Clients!$A$2:$A$200,MATCH(F$1&amp;"-"&amp;(ROW()-2),Clients!$J$2:$J$200,0)),"")</f>
      </c>
    </row>
    <row r="10">
      <c r="A10" s="9">
        <f>IFERROR(INDEX(Clients!$A$2:$A$200,MATCH(A$1&amp;"-"&amp;(ROW()-2),Clients!$J$2:$J$200,0)),"")</f>
      </c>
      <c r="B10" s="9">
        <f>IFERROR(INDEX(Clients!$A$2:$A$200,MATCH(B$1&amp;"-"&amp;(ROW()-2),Clients!$J$2:$J$200,0)),"")</f>
      </c>
      <c r="C10" s="9">
        <f>IFERROR(INDEX(Clients!$A$2:$A$200,MATCH(C$1&amp;"-"&amp;(ROW()-2),Clients!$J$2:$J$200,0)),"")</f>
      </c>
      <c r="D10" s="9">
        <f>IFERROR(INDEX(Clients!$A$2:$A$200,MATCH(D$1&amp;"-"&amp;(ROW()-2),Clients!$J$2:$J$200,0)),"")</f>
      </c>
      <c r="E10" s="9">
        <f>IFERROR(INDEX(Clients!$A$2:$A$200,MATCH(E$1&amp;"-"&amp;(ROW()-2),Clients!$J$2:$J$200,0)),"")</f>
      </c>
      <c r="F10" s="9">
        <f>IFERROR(INDEX(Clients!$A$2:$A$200,MATCH(F$1&amp;"-"&amp;(ROW()-2),Clients!$J$2:$J$200,0)),"")</f>
      </c>
    </row>
    <row r="11">
      <c r="A11" s="9">
        <f>IFERROR(INDEX(Clients!$A$2:$A$200,MATCH(A$1&amp;"-"&amp;(ROW()-2),Clients!$J$2:$J$200,0)),"")</f>
      </c>
      <c r="B11" s="9">
        <f>IFERROR(INDEX(Clients!$A$2:$A$200,MATCH(B$1&amp;"-"&amp;(ROW()-2),Clients!$J$2:$J$200,0)),"")</f>
      </c>
      <c r="C11" s="9">
        <f>IFERROR(INDEX(Clients!$A$2:$A$200,MATCH(C$1&amp;"-"&amp;(ROW()-2),Clients!$J$2:$J$200,0)),"")</f>
      </c>
      <c r="D11" s="9">
        <f>IFERROR(INDEX(Clients!$A$2:$A$200,MATCH(D$1&amp;"-"&amp;(ROW()-2),Clients!$J$2:$J$200,0)),"")</f>
      </c>
      <c r="E11" s="9">
        <f>IFERROR(INDEX(Clients!$A$2:$A$200,MATCH(E$1&amp;"-"&amp;(ROW()-2),Clients!$J$2:$J$200,0)),"")</f>
      </c>
      <c r="F11" s="9">
        <f>IFERROR(INDEX(Clients!$A$2:$A$200,MATCH(F$1&amp;"-"&amp;(ROW()-2),Clients!$J$2:$J$200,0)),"")</f>
      </c>
    </row>
    <row r="12">
      <c r="A12" s="9">
        <f>IFERROR(INDEX(Clients!$A$2:$A$200,MATCH(A$1&amp;"-"&amp;(ROW()-2),Clients!$J$2:$J$200,0)),"")</f>
      </c>
      <c r="B12" s="9">
        <f>IFERROR(INDEX(Clients!$A$2:$A$200,MATCH(B$1&amp;"-"&amp;(ROW()-2),Clients!$J$2:$J$200,0)),"")</f>
      </c>
      <c r="C12" s="9">
        <f>IFERROR(INDEX(Clients!$A$2:$A$200,MATCH(C$1&amp;"-"&amp;(ROW()-2),Clients!$J$2:$J$200,0)),"")</f>
      </c>
      <c r="D12" s="9">
        <f>IFERROR(INDEX(Clients!$A$2:$A$200,MATCH(D$1&amp;"-"&amp;(ROW()-2),Clients!$J$2:$J$200,0)),"")</f>
      </c>
      <c r="E12" s="9">
        <f>IFERROR(INDEX(Clients!$A$2:$A$200,MATCH(E$1&amp;"-"&amp;(ROW()-2),Clients!$J$2:$J$200,0)),"")</f>
      </c>
      <c r="F12" s="9">
        <f>IFERROR(INDEX(Clients!$A$2:$A$200,MATCH(F$1&amp;"-"&amp;(ROW()-2),Clients!$J$2:$J$200,0)),"")</f>
      </c>
    </row>
    <row r="13">
      <c r="A13" s="9">
        <f>IFERROR(INDEX(Clients!$A$2:$A$200,MATCH(A$1&amp;"-"&amp;(ROW()-2),Clients!$J$2:$J$200,0)),"")</f>
      </c>
      <c r="B13" s="9">
        <f>IFERROR(INDEX(Clients!$A$2:$A$200,MATCH(B$1&amp;"-"&amp;(ROW()-2),Clients!$J$2:$J$200,0)),"")</f>
      </c>
      <c r="C13" s="9">
        <f>IFERROR(INDEX(Clients!$A$2:$A$200,MATCH(C$1&amp;"-"&amp;(ROW()-2),Clients!$J$2:$J$200,0)),"")</f>
      </c>
      <c r="D13" s="9">
        <f>IFERROR(INDEX(Clients!$A$2:$A$200,MATCH(D$1&amp;"-"&amp;(ROW()-2),Clients!$J$2:$J$200,0)),"")</f>
      </c>
      <c r="E13" s="9">
        <f>IFERROR(INDEX(Clients!$A$2:$A$200,MATCH(E$1&amp;"-"&amp;(ROW()-2),Clients!$J$2:$J$200,0)),"")</f>
      </c>
      <c r="F13" s="9">
        <f>IFERROR(INDEX(Clients!$A$2:$A$200,MATCH(F$1&amp;"-"&amp;(ROW()-2),Clients!$J$2:$J$200,0)),"")</f>
      </c>
    </row>
    <row r="14">
      <c r="A14" s="9">
        <f>IFERROR(INDEX(Clients!$A$2:$A$200,MATCH(A$1&amp;"-"&amp;(ROW()-2),Clients!$J$2:$J$200,0)),"")</f>
      </c>
      <c r="B14" s="9">
        <f>IFERROR(INDEX(Clients!$A$2:$A$200,MATCH(B$1&amp;"-"&amp;(ROW()-2),Clients!$J$2:$J$200,0)),"")</f>
      </c>
      <c r="C14" s="9">
        <f>IFERROR(INDEX(Clients!$A$2:$A$200,MATCH(C$1&amp;"-"&amp;(ROW()-2),Clients!$J$2:$J$200,0)),"")</f>
      </c>
      <c r="D14" s="9">
        <f>IFERROR(INDEX(Clients!$A$2:$A$200,MATCH(D$1&amp;"-"&amp;(ROW()-2),Clients!$J$2:$J$200,0)),"")</f>
      </c>
      <c r="E14" s="9">
        <f>IFERROR(INDEX(Clients!$A$2:$A$200,MATCH(E$1&amp;"-"&amp;(ROW()-2),Clients!$J$2:$J$200,0)),"")</f>
      </c>
      <c r="F14" s="9">
        <f>IFERROR(INDEX(Clients!$A$2:$A$200,MATCH(F$1&amp;"-"&amp;(ROW()-2),Clients!$J$2:$J$200,0)),"")</f>
      </c>
    </row>
    <row r="15">
      <c r="A15" s="9">
        <f>IFERROR(INDEX(Clients!$A$2:$A$200,MATCH(A$1&amp;"-"&amp;(ROW()-2),Clients!$J$2:$J$200,0)),"")</f>
      </c>
      <c r="B15" s="9">
        <f>IFERROR(INDEX(Clients!$A$2:$A$200,MATCH(B$1&amp;"-"&amp;(ROW()-2),Clients!$J$2:$J$200,0)),"")</f>
      </c>
      <c r="C15" s="9">
        <f>IFERROR(INDEX(Clients!$A$2:$A$200,MATCH(C$1&amp;"-"&amp;(ROW()-2),Clients!$J$2:$J$200,0)),"")</f>
      </c>
      <c r="D15" s="9">
        <f>IFERROR(INDEX(Clients!$A$2:$A$200,MATCH(D$1&amp;"-"&amp;(ROW()-2),Clients!$J$2:$J$200,0)),"")</f>
      </c>
      <c r="E15" s="9">
        <f>IFERROR(INDEX(Clients!$A$2:$A$200,MATCH(E$1&amp;"-"&amp;(ROW()-2),Clients!$J$2:$J$200,0)),"")</f>
      </c>
      <c r="F15" s="9">
        <f>IFERROR(INDEX(Clients!$A$2:$A$200,MATCH(F$1&amp;"-"&amp;(ROW()-2),Clients!$J$2:$J$200,0)),"")</f>
      </c>
    </row>
    <row r="16">
      <c r="A16" s="9">
        <f>IFERROR(INDEX(Clients!$A$2:$A$200,MATCH(A$1&amp;"-"&amp;(ROW()-2),Clients!$J$2:$J$200,0)),"")</f>
      </c>
      <c r="B16" s="9">
        <f>IFERROR(INDEX(Clients!$A$2:$A$200,MATCH(B$1&amp;"-"&amp;(ROW()-2),Clients!$J$2:$J$200,0)),"")</f>
      </c>
      <c r="C16" s="9">
        <f>IFERROR(INDEX(Clients!$A$2:$A$200,MATCH(C$1&amp;"-"&amp;(ROW()-2),Clients!$J$2:$J$200,0)),"")</f>
      </c>
      <c r="D16" s="9">
        <f>IFERROR(INDEX(Clients!$A$2:$A$200,MATCH(D$1&amp;"-"&amp;(ROW()-2),Clients!$J$2:$J$200,0)),"")</f>
      </c>
      <c r="E16" s="9">
        <f>IFERROR(INDEX(Clients!$A$2:$A$200,MATCH(E$1&amp;"-"&amp;(ROW()-2),Clients!$J$2:$J$200,0)),"")</f>
      </c>
      <c r="F16" s="9">
        <f>IFERROR(INDEX(Clients!$A$2:$A$200,MATCH(F$1&amp;"-"&amp;(ROW()-2),Clients!$J$2:$J$200,0)),"")</f>
      </c>
    </row>
    <row r="17">
      <c r="A17" s="9">
        <f>IFERROR(INDEX(Clients!$A$2:$A$200,MATCH(A$1&amp;"-"&amp;(ROW()-2),Clients!$J$2:$J$200,0)),"")</f>
      </c>
      <c r="B17" s="9">
        <f>IFERROR(INDEX(Clients!$A$2:$A$200,MATCH(B$1&amp;"-"&amp;(ROW()-2),Clients!$J$2:$J$200,0)),"")</f>
      </c>
      <c r="C17" s="9">
        <f>IFERROR(INDEX(Clients!$A$2:$A$200,MATCH(C$1&amp;"-"&amp;(ROW()-2),Clients!$J$2:$J$200,0)),"")</f>
      </c>
      <c r="D17" s="9">
        <f>IFERROR(INDEX(Clients!$A$2:$A$200,MATCH(D$1&amp;"-"&amp;(ROW()-2),Clients!$J$2:$J$200,0)),"")</f>
      </c>
      <c r="E17" s="9">
        <f>IFERROR(INDEX(Clients!$A$2:$A$200,MATCH(E$1&amp;"-"&amp;(ROW()-2),Clients!$J$2:$J$200,0)),"")</f>
      </c>
      <c r="F17" s="9">
        <f>IFERROR(INDEX(Clients!$A$2:$A$200,MATCH(F$1&amp;"-"&amp;(ROW()-2),Clients!$J$2:$J$200,0)),"")</f>
      </c>
    </row>
    <row r="18">
      <c r="A18" s="9">
        <f>IFERROR(INDEX(Clients!$A$2:$A$200,MATCH(A$1&amp;"-"&amp;(ROW()-2),Clients!$J$2:$J$200,0)),"")</f>
      </c>
      <c r="B18" s="9">
        <f>IFERROR(INDEX(Clients!$A$2:$A$200,MATCH(B$1&amp;"-"&amp;(ROW()-2),Clients!$J$2:$J$200,0)),"")</f>
      </c>
      <c r="C18" s="9">
        <f>IFERROR(INDEX(Clients!$A$2:$A$200,MATCH(C$1&amp;"-"&amp;(ROW()-2),Clients!$J$2:$J$200,0)),"")</f>
      </c>
      <c r="D18" s="9">
        <f>IFERROR(INDEX(Clients!$A$2:$A$200,MATCH(D$1&amp;"-"&amp;(ROW()-2),Clients!$J$2:$J$200,0)),"")</f>
      </c>
      <c r="E18" s="9">
        <f>IFERROR(INDEX(Clients!$A$2:$A$200,MATCH(E$1&amp;"-"&amp;(ROW()-2),Clients!$J$2:$J$200,0)),"")</f>
      </c>
      <c r="F18" s="9">
        <f>IFERROR(INDEX(Clients!$A$2:$A$200,MATCH(F$1&amp;"-"&amp;(ROW()-2),Clients!$J$2:$J$200,0)),"")</f>
      </c>
    </row>
    <row r="19">
      <c r="A19" s="9">
        <f>IFERROR(INDEX(Clients!$A$2:$A$200,MATCH(A$1&amp;"-"&amp;(ROW()-2),Clients!$J$2:$J$200,0)),"")</f>
      </c>
      <c r="B19" s="9">
        <f>IFERROR(INDEX(Clients!$A$2:$A$200,MATCH(B$1&amp;"-"&amp;(ROW()-2),Clients!$J$2:$J$200,0)),"")</f>
      </c>
      <c r="C19" s="9">
        <f>IFERROR(INDEX(Clients!$A$2:$A$200,MATCH(C$1&amp;"-"&amp;(ROW()-2),Clients!$J$2:$J$200,0)),"")</f>
      </c>
      <c r="D19" s="9">
        <f>IFERROR(INDEX(Clients!$A$2:$A$200,MATCH(D$1&amp;"-"&amp;(ROW()-2),Clients!$J$2:$J$200,0)),"")</f>
      </c>
      <c r="E19" s="9">
        <f>IFERROR(INDEX(Clients!$A$2:$A$200,MATCH(E$1&amp;"-"&amp;(ROW()-2),Clients!$J$2:$J$200,0)),"")</f>
      </c>
      <c r="F19" s="9">
        <f>IFERROR(INDEX(Clients!$A$2:$A$200,MATCH(F$1&amp;"-"&amp;(ROW()-2),Clients!$J$2:$J$200,0)),"")</f>
      </c>
    </row>
    <row r="20">
      <c r="A20" s="9">
        <f>IFERROR(INDEX(Clients!$A$2:$A$200,MATCH(A$1&amp;"-"&amp;(ROW()-2),Clients!$J$2:$J$200,0)),"")</f>
      </c>
      <c r="B20" s="9">
        <f>IFERROR(INDEX(Clients!$A$2:$A$200,MATCH(B$1&amp;"-"&amp;(ROW()-2),Clients!$J$2:$J$200,0)),"")</f>
      </c>
      <c r="C20" s="9">
        <f>IFERROR(INDEX(Clients!$A$2:$A$200,MATCH(C$1&amp;"-"&amp;(ROW()-2),Clients!$J$2:$J$200,0)),"")</f>
      </c>
      <c r="D20" s="9">
        <f>IFERROR(INDEX(Clients!$A$2:$A$200,MATCH(D$1&amp;"-"&amp;(ROW()-2),Clients!$J$2:$J$200,0)),"")</f>
      </c>
      <c r="E20" s="9">
        <f>IFERROR(INDEX(Clients!$A$2:$A$200,MATCH(E$1&amp;"-"&amp;(ROW()-2),Clients!$J$2:$J$200,0)),"")</f>
      </c>
      <c r="F20" s="9">
        <f>IFERROR(INDEX(Clients!$A$2:$A$200,MATCH(F$1&amp;"-"&amp;(ROW()-2),Clients!$J$2:$J$200,0)),"")</f>
      </c>
    </row>
    <row r="21">
      <c r="A21" s="9">
        <f>IFERROR(INDEX(Clients!$A$2:$A$200,MATCH(A$1&amp;"-"&amp;(ROW()-2),Clients!$J$2:$J$200,0)),"")</f>
      </c>
      <c r="B21" s="9">
        <f>IFERROR(INDEX(Clients!$A$2:$A$200,MATCH(B$1&amp;"-"&amp;(ROW()-2),Clients!$J$2:$J$200,0)),"")</f>
      </c>
      <c r="C21" s="9">
        <f>IFERROR(INDEX(Clients!$A$2:$A$200,MATCH(C$1&amp;"-"&amp;(ROW()-2),Clients!$J$2:$J$200,0)),"")</f>
      </c>
      <c r="D21" s="9">
        <f>IFERROR(INDEX(Clients!$A$2:$A$200,MATCH(D$1&amp;"-"&amp;(ROW()-2),Clients!$J$2:$J$200,0)),"")</f>
      </c>
      <c r="E21" s="9">
        <f>IFERROR(INDEX(Clients!$A$2:$A$200,MATCH(E$1&amp;"-"&amp;(ROW()-2),Clients!$J$2:$J$200,0)),"")</f>
      </c>
      <c r="F21" s="9">
        <f>IFERROR(INDEX(Clients!$A$2:$A$200,MATCH(F$1&amp;"-"&amp;(ROW()-2),Clients!$J$2:$J$200,0)),"")</f>
      </c>
    </row>
    <row r="22">
      <c r="A22" s="9">
        <f>IFERROR(INDEX(Clients!$A$2:$A$200,MATCH(A$1&amp;"-"&amp;(ROW()-2),Clients!$J$2:$J$200,0)),"")</f>
      </c>
      <c r="B22" s="9">
        <f>IFERROR(INDEX(Clients!$A$2:$A$200,MATCH(B$1&amp;"-"&amp;(ROW()-2),Clients!$J$2:$J$200,0)),"")</f>
      </c>
      <c r="C22" s="9">
        <f>IFERROR(INDEX(Clients!$A$2:$A$200,MATCH(C$1&amp;"-"&amp;(ROW()-2),Clients!$J$2:$J$200,0)),"")</f>
      </c>
      <c r="D22" s="9">
        <f>IFERROR(INDEX(Clients!$A$2:$A$200,MATCH(D$1&amp;"-"&amp;(ROW()-2),Clients!$J$2:$J$200,0)),"")</f>
      </c>
      <c r="E22" s="9">
        <f>IFERROR(INDEX(Clients!$A$2:$A$200,MATCH(E$1&amp;"-"&amp;(ROW()-2),Clients!$J$2:$J$200,0)),"")</f>
      </c>
      <c r="F22" s="9">
        <f>IFERROR(INDEX(Clients!$A$2:$A$200,MATCH(F$1&amp;"-"&amp;(ROW()-2),Clients!$J$2:$J$200,0)),"")</f>
      </c>
    </row>
  </sheetData>
  <conditionalFormatting sqref="A2:F2">
    <cfRule type="cellIs" dxfId="1" priority="1" operator="greaterThan">
      <formula>7</formula>
    </cfRule>
    <cfRule type="cellIs" dxfId="0" priority="2" operator="between">
      <formula>5</formula>
      <formula>7</formula>
    </cfRule>
  </conditionalFormatting>
</worksheet>
</file>

<file path=xl/worksheets/sheet4.xml><?xml version="1.0" encoding="utf-8"?>
<worksheet xmlns="http://schemas.openxmlformats.org/spreadsheetml/2006/main">
  <sheetViews>
    <sheetView workbookViewId="0"/>
  </sheetViews>
  <cols>
    <col min="1" max="1" width="26" customWidth="1"/>
    <col min="2" max="2" width="14" customWidth="1"/>
    <col min="3" max="3" width="13" customWidth="1"/>
    <col min="4" max="4" width="18" customWidth="1"/>
    <col min="5" max="5" width="22" customWidth="1"/>
    <col min="6" max="6" width="38" customWidth="1"/>
  </cols>
  <sheetData>
    <row r="1">
      <c r="A1" s="2" t="inlineStr">
        <is>
          <t xml:space="preserve">Day</t>
        </is>
      </c>
      <c r="B1" s="2" t="inlineStr">
        <is>
          <t xml:space="preserve">Clients on Day</t>
        </is>
      </c>
      <c r="C1" s="2" t="inlineStr">
        <is>
          <t xml:space="preserve">Booked Hours</t>
        </is>
      </c>
      <c r="D1" s="2" t="inlineStr">
        <is>
          <t xml:space="preserve">Monthly Revenue ($)</t>
        </is>
      </c>
      <c r="E1" s="2" t="inlineStr">
        <is>
          <t xml:space="preserve">Revenue per Booked Hour</t>
        </is>
      </c>
      <c r="F1" s="2" t="inlineStr">
        <is>
          <t xml:space="preserve">Note</t>
        </is>
      </c>
    </row>
    <row r="2">
      <c r="A2" s="3" t="inlineStr">
        <is>
          <t xml:space="preserve">Mon</t>
        </is>
      </c>
      <c r="B2" s="9">
        <f>COUNTIF(Clients!$F$2:$F$200,A2)</f>
      </c>
      <c r="C2" s="10">
        <f>SUMIFS(Clients!$G$2:$G$200,Clients!$F$2:$F$200,A2)</f>
      </c>
      <c r="D2" s="11">
        <f>SUMIFS(Clients!$I$2:$I$200,Clients!$F$2:$F$200,A2)</f>
      </c>
      <c r="E2" s="11">
        <f>IF(C2=0,"",ROUND((D2/4.33)/C2,2))</f>
      </c>
      <c r="F2" s="9">
        <f>IF(C2=0,"open day",IF(E2&lt;50,"weak day — tighten zone or raise rates",""))</f>
      </c>
    </row>
    <row r="3">
      <c r="A3" s="3" t="inlineStr">
        <is>
          <t xml:space="preserve">Tue</t>
        </is>
      </c>
      <c r="B3" s="9">
        <f>COUNTIF(Clients!$F$2:$F$200,A3)</f>
      </c>
      <c r="C3" s="10">
        <f>SUMIFS(Clients!$G$2:$G$200,Clients!$F$2:$F$200,A3)</f>
      </c>
      <c r="D3" s="11">
        <f>SUMIFS(Clients!$I$2:$I$200,Clients!$F$2:$F$200,A3)</f>
      </c>
      <c r="E3" s="11">
        <f>IF(C3=0,"",ROUND((D3/4.33)/C3,2))</f>
      </c>
      <c r="F3" s="9">
        <f>IF(C3=0,"open day",IF(E3&lt;50,"weak day — tighten zone or raise rates",""))</f>
      </c>
    </row>
    <row r="4">
      <c r="A4" s="3" t="inlineStr">
        <is>
          <t xml:space="preserve">Wed</t>
        </is>
      </c>
      <c r="B4" s="9">
        <f>COUNTIF(Clients!$F$2:$F$200,A4)</f>
      </c>
      <c r="C4" s="10">
        <f>SUMIFS(Clients!$G$2:$G$200,Clients!$F$2:$F$200,A4)</f>
      </c>
      <c r="D4" s="11">
        <f>SUMIFS(Clients!$I$2:$I$200,Clients!$F$2:$F$200,A4)</f>
      </c>
      <c r="E4" s="11">
        <f>IF(C4=0,"",ROUND((D4/4.33)/C4,2))</f>
      </c>
      <c r="F4" s="9">
        <f>IF(C4=0,"open day",IF(E4&lt;50,"weak day — tighten zone or raise rates",""))</f>
      </c>
    </row>
    <row r="5">
      <c r="A5" s="3" t="inlineStr">
        <is>
          <t xml:space="preserve">Thu</t>
        </is>
      </c>
      <c r="B5" s="9">
        <f>COUNTIF(Clients!$F$2:$F$200,A5)</f>
      </c>
      <c r="C5" s="10">
        <f>SUMIFS(Clients!$G$2:$G$200,Clients!$F$2:$F$200,A5)</f>
      </c>
      <c r="D5" s="11">
        <f>SUMIFS(Clients!$I$2:$I$200,Clients!$F$2:$F$200,A5)</f>
      </c>
      <c r="E5" s="11">
        <f>IF(C5=0,"",ROUND((D5/4.33)/C5,2))</f>
      </c>
      <c r="F5" s="9">
        <f>IF(C5=0,"open day",IF(E5&lt;50,"weak day — tighten zone or raise rates",""))</f>
      </c>
    </row>
    <row r="6">
      <c r="A6" s="3" t="inlineStr">
        <is>
          <t xml:space="preserve">Fri</t>
        </is>
      </c>
      <c r="B6" s="9">
        <f>COUNTIF(Clients!$F$2:$F$200,A6)</f>
      </c>
      <c r="C6" s="10">
        <f>SUMIFS(Clients!$G$2:$G$200,Clients!$F$2:$F$200,A6)</f>
      </c>
      <c r="D6" s="11">
        <f>SUMIFS(Clients!$I$2:$I$200,Clients!$F$2:$F$200,A6)</f>
      </c>
      <c r="E6" s="11">
        <f>IF(C6=0,"",ROUND((D6/4.33)/C6,2))</f>
      </c>
      <c r="F6" s="9">
        <f>IF(C6=0,"open day",IF(E6&lt;50,"weak day — tighten zone or raise rates",""))</f>
      </c>
    </row>
    <row r="7">
      <c r="A7" s="3" t="inlineStr">
        <is>
          <t xml:space="preserve">Sat</t>
        </is>
      </c>
      <c r="B7" s="9">
        <f>COUNTIF(Clients!$F$2:$F$200,A7)</f>
      </c>
      <c r="C7" s="10">
        <f>SUMIFS(Clients!$G$2:$G$200,Clients!$F$2:$F$200,A7)</f>
      </c>
      <c r="D7" s="11">
        <f>SUMIFS(Clients!$I$2:$I$200,Clients!$F$2:$F$200,A7)</f>
      </c>
      <c r="E7" s="11">
        <f>IF(C7=0,"",ROUND((D7/4.33)/C7,2))</f>
      </c>
      <c r="F7" s="9">
        <f>IF(C7=0,"open day",IF(E7&lt;50,"weak day — tighten zone or raise rates",""))</f>
      </c>
    </row>
    <row r="8">
      <c r="A8" s="3" t="inlineStr">
        <is>
          <t xml:space="preserve">TOTAL (recurring monthly base)</t>
        </is>
      </c>
      <c r="D8" s="11">
        <f>SUM(D2:D7)</f>
      </c>
    </row>
    <row r="10">
      <c r="A10" s="14" t="inlineStr">
        <is>
          <t xml:space="preserve">Tip: adjust the 50 in the Note column to about 80% of your target hourly from the pricing calculator.</t>
        </is>
      </c>
    </row>
  </sheetData>
  <mergeCells count="1">
    <mergeCell ref="A10:F10"/>
  </mergeCells>
</worksheet>
</file>