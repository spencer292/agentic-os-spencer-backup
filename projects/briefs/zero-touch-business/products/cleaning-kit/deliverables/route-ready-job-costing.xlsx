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tart Here" sheetId="1" r:id="rId1"/>
    <sheet name="Job Log" sheetId="2" r:id="rId2"/>
    <sheet name="Client Ranking" sheetId="3" r:id="rId3"/>
  </sheets>
  <calcPr calcId="171027" fullCalcOnLoad="1"/>
</workbook>
</file>

<file path=xl/styles.xml><?xml version="1.0" encoding="utf-8"?>
<styleSheet xmlns="http://schemas.openxmlformats.org/spreadsheetml/2006/main">
  <numFmts count="5">
    <numFmt numFmtId="164" formatCode="&quot;$&quot;#,##0.00"/>
    <numFmt numFmtId="165" formatCode="0.00"/>
    <numFmt numFmtId="166" formatCode="mmm\ yyyy"/>
    <numFmt numFmtId="167" formatCode="mmm"/>
    <numFmt numFmtId="168" formatCode="yyyy\-mm\-dd"/>
  </numFmts>
  <fonts count="5">
    <font>
      <sz val="11"/>
      <name val="Calibri"/>
    </font>
    <font>
      <b/>
      <sz val="11"/>
      <name val="Calibri"/>
    </font>
    <font>
      <b/>
      <sz val="11"/>
      <color rgb="FFFFFFFF"/>
      <name val="Calibri"/>
    </font>
    <font>
      <i/>
      <sz val="10"/>
      <color rgb="FF666666"/>
      <name val="Calibri"/>
    </font>
    <font>
      <b/>
      <sz val="14"/>
      <name val="Calibri"/>
    </font>
  </fonts>
  <fills count="5">
    <fill>
      <patternFill patternType="none"/>
    </fill>
    <fill>
      <patternFill patternType="gray125"/>
    </fill>
    <fill>
      <patternFill patternType="solid">
        <fgColor rgb="FFFFF2CC"/>
        <bgColor indexed="64"/>
      </patternFill>
    </fill>
    <fill>
      <patternFill patternType="solid">
        <fgColor rgb="FFD9EAD3"/>
        <bgColor indexed="64"/>
      </patternFill>
    </fill>
    <fill>
      <patternFill patternType="solid">
        <fgColor rgb="FF1A7F4B"/>
        <bgColor indexed="64"/>
      </patternFill>
    </fill>
  </fills>
  <borders count="1">
    <border>
      <left/>
      <right/>
      <top/>
      <bottom/>
      <diagonal/>
    </border>
  </borders>
  <cellStyleXfs count="1">
    <xf numFmtId="0" fontId="0" fillId="0" borderId="0"/>
  </cellStyleXfs>
  <cellXfs count="18">
    <xf numFmtId="0" fontId="0" fillId="0" borderId="0" xfId="0" applyNumberFormat="1" applyFont="1" applyFill="1"/>
    <xf numFmtId="0" fontId="4" fillId="0" borderId="0" xfId="0" applyNumberFormat="1" applyFont="1" applyFill="1"/>
    <xf numFmtId="0" fontId="2" fillId="4" borderId="0" xfId="0" applyNumberFormat="1" applyFont="1" applyFill="1"/>
    <xf numFmtId="0" fontId="1" fillId="0" borderId="0" xfId="0" applyNumberFormat="1" applyFont="1" applyFill="1"/>
    <xf numFmtId="0" fontId="0" fillId="2" borderId="0" xfId="0" applyNumberFormat="1" applyFont="1" applyFill="1"/>
    <xf numFmtId="165" fontId="0" fillId="2" borderId="0" xfId="0" applyNumberFormat="1" applyFont="1" applyFill="1"/>
    <xf numFmtId="164" fontId="0" fillId="2" borderId="0" xfId="0" applyNumberFormat="1" applyFont="1" applyFill="1"/>
    <xf numFmtId="168" fontId="0" fillId="2" borderId="0" xfId="0" applyNumberFormat="1" applyFont="1" applyFill="1"/>
    <xf numFmtId="1" fontId="0" fillId="2" borderId="0" xfId="0" applyNumberFormat="1" applyFont="1" applyFill="1"/>
    <xf numFmtId="0" fontId="0" fillId="3" borderId="0" xfId="0" applyNumberFormat="1" applyFont="1" applyFill="1"/>
    <xf numFmtId="165" fontId="0" fillId="3" borderId="0" xfId="0" applyNumberFormat="1" applyFont="1" applyFill="1"/>
    <xf numFmtId="164" fontId="0" fillId="3" borderId="0" xfId="0" applyNumberFormat="1" applyFont="1" applyFill="1"/>
    <xf numFmtId="9" fontId="0" fillId="3" borderId="0" xfId="0" applyNumberFormat="1" applyFont="1" applyFill="1"/>
    <xf numFmtId="166" fontId="0" fillId="3" borderId="0" xfId="0" applyNumberFormat="1" applyFont="1" applyFill="1"/>
    <xf numFmtId="0" fontId="3" fillId="0" borderId="0" xfId="0" applyNumberFormat="1" applyFont="1" applyFill="1" applyAlignment="1">
      <alignment wrapText="1"/>
    </xf>
    <xf numFmtId="0" fontId="0" fillId="0" borderId="0" xfId="0" applyNumberFormat="1" applyFont="1" applyFill="1" applyAlignment="1">
      <alignment wrapText="1" vertical="top"/>
    </xf>
    <xf numFmtId="167" fontId="2" fillId="4" borderId="0" xfId="0" applyNumberFormat="1" applyFont="1" applyFill="1"/>
    <xf numFmtId="0" fontId="0" fillId="3" borderId="0" xfId="0" applyNumberFormat="1" applyFont="1" applyFill="1" applyAlignment="1">
      <alignment wrapText="1"/>
    </xf>
  </cellXfs>
  <cellStyles count="1">
    <cellStyle name="Normal" xfId="0" builtinId="0"/>
  </cellStyles>
  <dxfs count="4">
    <dxf>
      <font>
        <color rgb="FF006100"/>
      </font>
      <fill>
        <patternFill>
          <bgColor rgb="FFC6EFCE"/>
        </patternFill>
      </fill>
    </dxf>
    <dxf>
      <font>
        <b/>
        <color rgb="FF9C0006"/>
      </font>
      <fill>
        <patternFill>
          <bgColor rgb="FFFFC7CE"/>
        </patternFill>
      </fill>
    </dxf>
    <dxf>
      <font>
        <color rgb="FF9C6500"/>
      </font>
      <fill>
        <patternFill>
          <bgColor rgb="FFFFEB9C"/>
        </patternFill>
      </fill>
    </dxf>
    <dxf>
      <font>
        <color rgb="FFFF0000"/>
      </font>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8" customWidth="1"/>
    <col min="2" max="2" width="18" customWidth="1"/>
    <col min="3" max="3" width="18" customWidth="1"/>
    <col min="4" max="4" width="18" customWidth="1"/>
    <col min="5" max="5" width="18" customWidth="1"/>
    <col min="6" max="6" width="18" customWidth="1"/>
  </cols>
  <sheetData>
    <row r="1">
      <c r="A1" s="15" t="inlineStr">
        <is>
          <t xml:space="preserve">Job Costing Sheet — how to use
Most operators know their quoted rate. Almost none know their TRUE HOURLY — what a job pays after you count the drive there, the drive to the next stop, and the supplies it burned. This sheet computes it per job and then ranks your clients by it, so you know exactly who to keep, who to re-price, and who to hand to a competitor you don't like.
1. Job Log: one row per completed job, yellow columns only. Log it the same day — drive minutes evaporate from memory by morning. Use the exact same client spelling every time; the ranking tab groups on that text.
2. Client Ranking builds itself from the log. Use the Rank column (1 = best true hourly) or the filter arrows to sort. Color bands: green above $55/hr, yellow $40-55 (survivable, not where you want to live), red under $40. Tune those bands to your market.
3. Review monthly, act quarterly. Bottom client gets one of three moves: re-zone (move them to a day when you're already nearby), re-price (a $20 bump fixes most of these), or release. That slot is inventory, and inventory should earn.
Drive time is the silent rate cut. Yellow = input, green = formula output. The "Client #" column on Job Log is a helper the ranking tab reads — leave it alone.</t>
        </is>
      </c>
    </row>
  </sheetData>
  <mergeCells count="1">
    <mergeCell ref="A1:F24"/>
  </mergeCells>
</worksheet>
</file>

<file path=xl/worksheets/sheet2.xml><?xml version="1.0" encoding="utf-8"?>
<worksheet xmlns="http://schemas.openxmlformats.org/spreadsheetml/2006/main">
  <sheetViews>
    <sheetView workbookViewId="0">
      <pane ySplit="1" topLeftCell="A2" activePane="bottomLeft" state="frozen"/>
      <selection pane="bottomLeft" activeCell="A2" sqref="A2"/>
    </sheetView>
  </sheetViews>
  <cols>
    <col min="1" max="1" width="12" customWidth="1"/>
    <col min="2" max="2" width="20" customWidth="1"/>
    <col min="3" max="3" width="12" customWidth="1"/>
    <col min="4" max="4" width="15" customWidth="1"/>
    <col min="5" max="5" width="13" customWidth="1"/>
    <col min="6" max="6" width="15" customWidth="1"/>
    <col min="7" max="7" width="13" customWidth="1"/>
    <col min="8" max="8" width="11" customWidth="1"/>
    <col min="9" max="9" width="14" customWidth="1"/>
    <col min="10" max="10" width="15" customWidth="1"/>
    <col min="11" max="11" width="12" customWidth="1"/>
  </cols>
  <sheetData>
    <row r="1">
      <c r="A1" s="2" t="inlineStr">
        <is>
          <t xml:space="preserve">Date</t>
        </is>
      </c>
      <c r="B1" s="2" t="inlineStr">
        <is>
          <t xml:space="preserve">Client</t>
        </is>
      </c>
      <c r="C1" s="2" t="inlineStr">
        <is>
          <t xml:space="preserve">Revenue ($)</t>
        </is>
      </c>
      <c r="D1" s="2" t="inlineStr">
        <is>
          <t xml:space="preserve">On-Site Minutes</t>
        </is>
      </c>
      <c r="E1" s="2" t="inlineStr">
        <is>
          <t xml:space="preserve">Drive Minutes</t>
        </is>
      </c>
      <c r="F1" s="2" t="inlineStr">
        <is>
          <t xml:space="preserve">Supplies Cost ($)</t>
        </is>
      </c>
      <c r="G1" s="2" t="inlineStr">
        <is>
          <t xml:space="preserve">Total Minutes</t>
        </is>
      </c>
      <c r="H1" s="2" t="inlineStr">
        <is>
          <t xml:space="preserve">Total Hours</t>
        </is>
      </c>
      <c r="I1" s="2" t="inlineStr">
        <is>
          <t xml:space="preserve">Net Revenue ($)</t>
        </is>
      </c>
      <c r="J1" s="2" t="inlineStr">
        <is>
          <t xml:space="preserve">True Hourly ($/hr)</t>
        </is>
      </c>
      <c r="K1" s="2" t="inlineStr">
        <is>
          <t xml:space="preserve">Client # (helper — do not edit)</t>
        </is>
      </c>
    </row>
    <row r="2">
      <c r="A2" s="7">
        <v>46210</v>
      </c>
      <c r="B2" s="4" t="inlineStr">
        <is>
          <t xml:space="preserve">Harmon, K.</t>
        </is>
      </c>
      <c r="C2" s="6">
        <v>150.0</v>
      </c>
      <c r="D2" s="8">
        <v>130</v>
      </c>
      <c r="E2" s="8">
        <v>15</v>
      </c>
      <c r="F2" s="6">
        <v>5.0</v>
      </c>
      <c r="G2" s="9">
        <f>IF(B2="","",D2+E2)</f>
      </c>
      <c r="H2" s="10">
        <f>IF(B2="","",ROUND(G2/60,2))</f>
      </c>
      <c r="I2" s="11">
        <f>IF(B2="","",C2-F2)</f>
      </c>
      <c r="J2" s="11">
        <f>IF(OR(B2="",G2=0),"",ROUND(I2/H2,2))</f>
      </c>
      <c r="K2" s="9">
        <f>IF(B2="","",IF(COUNTIF($B$2:B2,B2)=1,MAX($K$1:K1)+1,""))</f>
      </c>
    </row>
    <row r="3">
      <c r="A3" s="7">
        <v>46210</v>
      </c>
      <c r="B3" s="4" t="inlineStr">
        <is>
          <t xml:space="preserve">Ortiz, R.</t>
        </is>
      </c>
      <c r="C3" s="6">
        <v>220.0</v>
      </c>
      <c r="D3" s="8">
        <v>175</v>
      </c>
      <c r="E3" s="8">
        <v>40</v>
      </c>
      <c r="F3" s="6">
        <v>8.0</v>
      </c>
      <c r="G3" s="9">
        <f>IF(B3="","",D3+E3)</f>
      </c>
      <c r="H3" s="10">
        <f>IF(B3="","",ROUND(G3/60,2))</f>
      </c>
      <c r="I3" s="11">
        <f>IF(B3="","",C3-F3)</f>
      </c>
      <c r="J3" s="11">
        <f>IF(OR(B3="",G3=0),"",ROUND(I3/H3,2))</f>
      </c>
      <c r="K3" s="9">
        <f>IF(B3="","",IF(COUNTIF($B$2:B3,B3)=1,MAX($K$1:K2)+1,""))</f>
      </c>
    </row>
    <row r="4">
      <c r="A4" s="7">
        <v>46212</v>
      </c>
      <c r="B4" s="4" t="inlineStr">
        <is>
          <t xml:space="preserve">Trask, M.</t>
        </is>
      </c>
      <c r="C4" s="6">
        <v>130.0</v>
      </c>
      <c r="D4" s="8">
        <v>95</v>
      </c>
      <c r="E4" s="8">
        <v>55</v>
      </c>
      <c r="F4" s="6">
        <v>5.0</v>
      </c>
      <c r="G4" s="9">
        <f>IF(B4="","",D4+E4)</f>
      </c>
      <c r="H4" s="10">
        <f>IF(B4="","",ROUND(G4/60,2))</f>
      </c>
      <c r="I4" s="11">
        <f>IF(B4="","",C4-F4)</f>
      </c>
      <c r="J4" s="11">
        <f>IF(OR(B4="",G4=0),"",ROUND(I4/H4,2))</f>
      </c>
      <c r="K4" s="9">
        <f>IF(B4="","",IF(COUNTIF($B$2:B4,B4)=1,MAX($K$1:K3)+1,""))</f>
      </c>
    </row>
    <row r="5">
      <c r="A5" s="7">
        <v>46213</v>
      </c>
      <c r="B5" s="4" t="inlineStr">
        <is>
          <t xml:space="preserve">Bishop Dental</t>
        </is>
      </c>
      <c r="C5" s="6">
        <v>175.0</v>
      </c>
      <c r="D5" s="8">
        <v>140</v>
      </c>
      <c r="E5" s="8">
        <v>10</v>
      </c>
      <c r="F5" s="6">
        <v>6.0</v>
      </c>
      <c r="G5" s="9">
        <f>IF(B5="","",D5+E5)</f>
      </c>
      <c r="H5" s="10">
        <f>IF(B5="","",ROUND(G5/60,2))</f>
      </c>
      <c r="I5" s="11">
        <f>IF(B5="","",C5-F5)</f>
      </c>
      <c r="J5" s="11">
        <f>IF(OR(B5="",G5=0),"",ROUND(I5/H5,2))</f>
      </c>
      <c r="K5" s="9">
        <f>IF(B5="","",IF(COUNTIF($B$2:B5,B5)=1,MAX($K$1:K4)+1,""))</f>
      </c>
    </row>
    <row r="6">
      <c r="G6" s="9">
        <f>IF(B6="","",D6+E6)</f>
      </c>
      <c r="H6" s="10">
        <f>IF(B6="","",ROUND(G6/60,2))</f>
      </c>
      <c r="I6" s="11">
        <f>IF(B6="","",C6-F6)</f>
      </c>
      <c r="J6" s="11">
        <f>IF(OR(B6="",G6=0),"",ROUND(I6/H6,2))</f>
      </c>
      <c r="K6" s="9">
        <f>IF(B6="","",IF(COUNTIF($B$2:B6,B6)=1,MAX($K$1:K5)+1,""))</f>
      </c>
    </row>
    <row r="7">
      <c r="G7" s="9">
        <f>IF(B7="","",D7+E7)</f>
      </c>
      <c r="H7" s="10">
        <f>IF(B7="","",ROUND(G7/60,2))</f>
      </c>
      <c r="I7" s="11">
        <f>IF(B7="","",C7-F7)</f>
      </c>
      <c r="J7" s="11">
        <f>IF(OR(B7="",G7=0),"",ROUND(I7/H7,2))</f>
      </c>
      <c r="K7" s="9">
        <f>IF(B7="","",IF(COUNTIF($B$2:B7,B7)=1,MAX($K$1:K6)+1,""))</f>
      </c>
    </row>
    <row r="8">
      <c r="G8" s="9">
        <f>IF(B8="","",D8+E8)</f>
      </c>
      <c r="H8" s="10">
        <f>IF(B8="","",ROUND(G8/60,2))</f>
      </c>
      <c r="I8" s="11">
        <f>IF(B8="","",C8-F8)</f>
      </c>
      <c r="J8" s="11">
        <f>IF(OR(B8="",G8=0),"",ROUND(I8/H8,2))</f>
      </c>
      <c r="K8" s="9">
        <f>IF(B8="","",IF(COUNTIF($B$2:B8,B8)=1,MAX($K$1:K7)+1,""))</f>
      </c>
    </row>
    <row r="9">
      <c r="G9" s="9">
        <f>IF(B9="","",D9+E9)</f>
      </c>
      <c r="H9" s="10">
        <f>IF(B9="","",ROUND(G9/60,2))</f>
      </c>
      <c r="I9" s="11">
        <f>IF(B9="","",C9-F9)</f>
      </c>
      <c r="J9" s="11">
        <f>IF(OR(B9="",G9=0),"",ROUND(I9/H9,2))</f>
      </c>
      <c r="K9" s="9">
        <f>IF(B9="","",IF(COUNTIF($B$2:B9,B9)=1,MAX($K$1:K8)+1,""))</f>
      </c>
    </row>
    <row r="10">
      <c r="G10" s="9">
        <f>IF(B10="","",D10+E10)</f>
      </c>
      <c r="H10" s="10">
        <f>IF(B10="","",ROUND(G10/60,2))</f>
      </c>
      <c r="I10" s="11">
        <f>IF(B10="","",C10-F10)</f>
      </c>
      <c r="J10" s="11">
        <f>IF(OR(B10="",G10=0),"",ROUND(I10/H10,2))</f>
      </c>
      <c r="K10" s="9">
        <f>IF(B10="","",IF(COUNTIF($B$2:B10,B10)=1,MAX($K$1:K9)+1,""))</f>
      </c>
    </row>
    <row r="11">
      <c r="G11" s="9">
        <f>IF(B11="","",D11+E11)</f>
      </c>
      <c r="H11" s="10">
        <f>IF(B11="","",ROUND(G11/60,2))</f>
      </c>
      <c r="I11" s="11">
        <f>IF(B11="","",C11-F11)</f>
      </c>
      <c r="J11" s="11">
        <f>IF(OR(B11="",G11=0),"",ROUND(I11/H11,2))</f>
      </c>
      <c r="K11" s="9">
        <f>IF(B11="","",IF(COUNTIF($B$2:B11,B11)=1,MAX($K$1:K10)+1,""))</f>
      </c>
    </row>
    <row r="12">
      <c r="G12" s="9">
        <f>IF(B12="","",D12+E12)</f>
      </c>
      <c r="H12" s="10">
        <f>IF(B12="","",ROUND(G12/60,2))</f>
      </c>
      <c r="I12" s="11">
        <f>IF(B12="","",C12-F12)</f>
      </c>
      <c r="J12" s="11">
        <f>IF(OR(B12="",G12=0),"",ROUND(I12/H12,2))</f>
      </c>
      <c r="K12" s="9">
        <f>IF(B12="","",IF(COUNTIF($B$2:B12,B12)=1,MAX($K$1:K11)+1,""))</f>
      </c>
    </row>
    <row r="13">
      <c r="G13" s="9">
        <f>IF(B13="","",D13+E13)</f>
      </c>
      <c r="H13" s="10">
        <f>IF(B13="","",ROUND(G13/60,2))</f>
      </c>
      <c r="I13" s="11">
        <f>IF(B13="","",C13-F13)</f>
      </c>
      <c r="J13" s="11">
        <f>IF(OR(B13="",G13=0),"",ROUND(I13/H13,2))</f>
      </c>
      <c r="K13" s="9">
        <f>IF(B13="","",IF(COUNTIF($B$2:B13,B13)=1,MAX($K$1:K12)+1,""))</f>
      </c>
    </row>
    <row r="14">
      <c r="G14" s="9">
        <f>IF(B14="","",D14+E14)</f>
      </c>
      <c r="H14" s="10">
        <f>IF(B14="","",ROUND(G14/60,2))</f>
      </c>
      <c r="I14" s="11">
        <f>IF(B14="","",C14-F14)</f>
      </c>
      <c r="J14" s="11">
        <f>IF(OR(B14="",G14=0),"",ROUND(I14/H14,2))</f>
      </c>
      <c r="K14" s="9">
        <f>IF(B14="","",IF(COUNTIF($B$2:B14,B14)=1,MAX($K$1:K13)+1,""))</f>
      </c>
    </row>
    <row r="15">
      <c r="G15" s="9">
        <f>IF(B15="","",D15+E15)</f>
      </c>
      <c r="H15" s="10">
        <f>IF(B15="","",ROUND(G15/60,2))</f>
      </c>
      <c r="I15" s="11">
        <f>IF(B15="","",C15-F15)</f>
      </c>
      <c r="J15" s="11">
        <f>IF(OR(B15="",G15=0),"",ROUND(I15/H15,2))</f>
      </c>
      <c r="K15" s="9">
        <f>IF(B15="","",IF(COUNTIF($B$2:B15,B15)=1,MAX($K$1:K14)+1,""))</f>
      </c>
    </row>
    <row r="16">
      <c r="G16" s="9">
        <f>IF(B16="","",D16+E16)</f>
      </c>
      <c r="H16" s="10">
        <f>IF(B16="","",ROUND(G16/60,2))</f>
      </c>
      <c r="I16" s="11">
        <f>IF(B16="","",C16-F16)</f>
      </c>
      <c r="J16" s="11">
        <f>IF(OR(B16="",G16=0),"",ROUND(I16/H16,2))</f>
      </c>
      <c r="K16" s="9">
        <f>IF(B16="","",IF(COUNTIF($B$2:B16,B16)=1,MAX($K$1:K15)+1,""))</f>
      </c>
    </row>
    <row r="17">
      <c r="G17" s="9">
        <f>IF(B17="","",D17+E17)</f>
      </c>
      <c r="H17" s="10">
        <f>IF(B17="","",ROUND(G17/60,2))</f>
      </c>
      <c r="I17" s="11">
        <f>IF(B17="","",C17-F17)</f>
      </c>
      <c r="J17" s="11">
        <f>IF(OR(B17="",G17=0),"",ROUND(I17/H17,2))</f>
      </c>
      <c r="K17" s="9">
        <f>IF(B17="","",IF(COUNTIF($B$2:B17,B17)=1,MAX($K$1:K16)+1,""))</f>
      </c>
    </row>
    <row r="18">
      <c r="G18" s="9">
        <f>IF(B18="","",D18+E18)</f>
      </c>
      <c r="H18" s="10">
        <f>IF(B18="","",ROUND(G18/60,2))</f>
      </c>
      <c r="I18" s="11">
        <f>IF(B18="","",C18-F18)</f>
      </c>
      <c r="J18" s="11">
        <f>IF(OR(B18="",G18=0),"",ROUND(I18/H18,2))</f>
      </c>
      <c r="K18" s="9">
        <f>IF(B18="","",IF(COUNTIF($B$2:B18,B18)=1,MAX($K$1:K17)+1,""))</f>
      </c>
    </row>
    <row r="19">
      <c r="G19" s="9">
        <f>IF(B19="","",D19+E19)</f>
      </c>
      <c r="H19" s="10">
        <f>IF(B19="","",ROUND(G19/60,2))</f>
      </c>
      <c r="I19" s="11">
        <f>IF(B19="","",C19-F19)</f>
      </c>
      <c r="J19" s="11">
        <f>IF(OR(B19="",G19=0),"",ROUND(I19/H19,2))</f>
      </c>
      <c r="K19" s="9">
        <f>IF(B19="","",IF(COUNTIF($B$2:B19,B19)=1,MAX($K$1:K18)+1,""))</f>
      </c>
    </row>
    <row r="20">
      <c r="G20" s="9">
        <f>IF(B20="","",D20+E20)</f>
      </c>
      <c r="H20" s="10">
        <f>IF(B20="","",ROUND(G20/60,2))</f>
      </c>
      <c r="I20" s="11">
        <f>IF(B20="","",C20-F20)</f>
      </c>
      <c r="J20" s="11">
        <f>IF(OR(B20="",G20=0),"",ROUND(I20/H20,2))</f>
      </c>
      <c r="K20" s="9">
        <f>IF(B20="","",IF(COUNTIF($B$2:B20,B20)=1,MAX($K$1:K19)+1,""))</f>
      </c>
    </row>
    <row r="21">
      <c r="G21" s="9">
        <f>IF(B21="","",D21+E21)</f>
      </c>
      <c r="H21" s="10">
        <f>IF(B21="","",ROUND(G21/60,2))</f>
      </c>
      <c r="I21" s="11">
        <f>IF(B21="","",C21-F21)</f>
      </c>
      <c r="J21" s="11">
        <f>IF(OR(B21="",G21=0),"",ROUND(I21/H21,2))</f>
      </c>
      <c r="K21" s="9">
        <f>IF(B21="","",IF(COUNTIF($B$2:B21,B21)=1,MAX($K$1:K20)+1,""))</f>
      </c>
    </row>
    <row r="22">
      <c r="G22" s="9">
        <f>IF(B22="","",D22+E22)</f>
      </c>
      <c r="H22" s="10">
        <f>IF(B22="","",ROUND(G22/60,2))</f>
      </c>
      <c r="I22" s="11">
        <f>IF(B22="","",C22-F22)</f>
      </c>
      <c r="J22" s="11">
        <f>IF(OR(B22="",G22=0),"",ROUND(I22/H22,2))</f>
      </c>
      <c r="K22" s="9">
        <f>IF(B22="","",IF(COUNTIF($B$2:B22,B22)=1,MAX($K$1:K21)+1,""))</f>
      </c>
    </row>
    <row r="23">
      <c r="G23" s="9">
        <f>IF(B23="","",D23+E23)</f>
      </c>
      <c r="H23" s="10">
        <f>IF(B23="","",ROUND(G23/60,2))</f>
      </c>
      <c r="I23" s="11">
        <f>IF(B23="","",C23-F23)</f>
      </c>
      <c r="J23" s="11">
        <f>IF(OR(B23="",G23=0),"",ROUND(I23/H23,2))</f>
      </c>
      <c r="K23" s="9">
        <f>IF(B23="","",IF(COUNTIF($B$2:B23,B23)=1,MAX($K$1:K22)+1,""))</f>
      </c>
    </row>
    <row r="24">
      <c r="G24" s="9">
        <f>IF(B24="","",D24+E24)</f>
      </c>
      <c r="H24" s="10">
        <f>IF(B24="","",ROUND(G24/60,2))</f>
      </c>
      <c r="I24" s="11">
        <f>IF(B24="","",C24-F24)</f>
      </c>
      <c r="J24" s="11">
        <f>IF(OR(B24="",G24=0),"",ROUND(I24/H24,2))</f>
      </c>
      <c r="K24" s="9">
        <f>IF(B24="","",IF(COUNTIF($B$2:B24,B24)=1,MAX($K$1:K23)+1,""))</f>
      </c>
    </row>
    <row r="25">
      <c r="G25" s="9">
        <f>IF(B25="","",D25+E25)</f>
      </c>
      <c r="H25" s="10">
        <f>IF(B25="","",ROUND(G25/60,2))</f>
      </c>
      <c r="I25" s="11">
        <f>IF(B25="","",C25-F25)</f>
      </c>
      <c r="J25" s="11">
        <f>IF(OR(B25="",G25=0),"",ROUND(I25/H25,2))</f>
      </c>
      <c r="K25" s="9">
        <f>IF(B25="","",IF(COUNTIF($B$2:B25,B25)=1,MAX($K$1:K24)+1,""))</f>
      </c>
    </row>
    <row r="26">
      <c r="G26" s="9">
        <f>IF(B26="","",D26+E26)</f>
      </c>
      <c r="H26" s="10">
        <f>IF(B26="","",ROUND(G26/60,2))</f>
      </c>
      <c r="I26" s="11">
        <f>IF(B26="","",C26-F26)</f>
      </c>
      <c r="J26" s="11">
        <f>IF(OR(B26="",G26=0),"",ROUND(I26/H26,2))</f>
      </c>
      <c r="K26" s="9">
        <f>IF(B26="","",IF(COUNTIF($B$2:B26,B26)=1,MAX($K$1:K25)+1,""))</f>
      </c>
    </row>
    <row r="27">
      <c r="G27" s="9">
        <f>IF(B27="","",D27+E27)</f>
      </c>
      <c r="H27" s="10">
        <f>IF(B27="","",ROUND(G27/60,2))</f>
      </c>
      <c r="I27" s="11">
        <f>IF(B27="","",C27-F27)</f>
      </c>
      <c r="J27" s="11">
        <f>IF(OR(B27="",G27=0),"",ROUND(I27/H27,2))</f>
      </c>
      <c r="K27" s="9">
        <f>IF(B27="","",IF(COUNTIF($B$2:B27,B27)=1,MAX($K$1:K26)+1,""))</f>
      </c>
    </row>
    <row r="28">
      <c r="G28" s="9">
        <f>IF(B28="","",D28+E28)</f>
      </c>
      <c r="H28" s="10">
        <f>IF(B28="","",ROUND(G28/60,2))</f>
      </c>
      <c r="I28" s="11">
        <f>IF(B28="","",C28-F28)</f>
      </c>
      <c r="J28" s="11">
        <f>IF(OR(B28="",G28=0),"",ROUND(I28/H28,2))</f>
      </c>
      <c r="K28" s="9">
        <f>IF(B28="","",IF(COUNTIF($B$2:B28,B28)=1,MAX($K$1:K27)+1,""))</f>
      </c>
    </row>
    <row r="29">
      <c r="G29" s="9">
        <f>IF(B29="","",D29+E29)</f>
      </c>
      <c r="H29" s="10">
        <f>IF(B29="","",ROUND(G29/60,2))</f>
      </c>
      <c r="I29" s="11">
        <f>IF(B29="","",C29-F29)</f>
      </c>
      <c r="J29" s="11">
        <f>IF(OR(B29="",G29=0),"",ROUND(I29/H29,2))</f>
      </c>
      <c r="K29" s="9">
        <f>IF(B29="","",IF(COUNTIF($B$2:B29,B29)=1,MAX($K$1:K28)+1,""))</f>
      </c>
    </row>
    <row r="30">
      <c r="G30" s="9">
        <f>IF(B30="","",D30+E30)</f>
      </c>
      <c r="H30" s="10">
        <f>IF(B30="","",ROUND(G30/60,2))</f>
      </c>
      <c r="I30" s="11">
        <f>IF(B30="","",C30-F30)</f>
      </c>
      <c r="J30" s="11">
        <f>IF(OR(B30="",G30=0),"",ROUND(I30/H30,2))</f>
      </c>
      <c r="K30" s="9">
        <f>IF(B30="","",IF(COUNTIF($B$2:B30,B30)=1,MAX($K$1:K29)+1,""))</f>
      </c>
    </row>
    <row r="31">
      <c r="G31" s="9">
        <f>IF(B31="","",D31+E31)</f>
      </c>
      <c r="H31" s="10">
        <f>IF(B31="","",ROUND(G31/60,2))</f>
      </c>
      <c r="I31" s="11">
        <f>IF(B31="","",C31-F31)</f>
      </c>
      <c r="J31" s="11">
        <f>IF(OR(B31="",G31=0),"",ROUND(I31/H31,2))</f>
      </c>
      <c r="K31" s="9">
        <f>IF(B31="","",IF(COUNTIF($B$2:B31,B31)=1,MAX($K$1:K30)+1,""))</f>
      </c>
    </row>
    <row r="32">
      <c r="G32" s="9">
        <f>IF(B32="","",D32+E32)</f>
      </c>
      <c r="H32" s="10">
        <f>IF(B32="","",ROUND(G32/60,2))</f>
      </c>
      <c r="I32" s="11">
        <f>IF(B32="","",C32-F32)</f>
      </c>
      <c r="J32" s="11">
        <f>IF(OR(B32="",G32=0),"",ROUND(I32/H32,2))</f>
      </c>
      <c r="K32" s="9">
        <f>IF(B32="","",IF(COUNTIF($B$2:B32,B32)=1,MAX($K$1:K31)+1,""))</f>
      </c>
    </row>
    <row r="33">
      <c r="G33" s="9">
        <f>IF(B33="","",D33+E33)</f>
      </c>
      <c r="H33" s="10">
        <f>IF(B33="","",ROUND(G33/60,2))</f>
      </c>
      <c r="I33" s="11">
        <f>IF(B33="","",C33-F33)</f>
      </c>
      <c r="J33" s="11">
        <f>IF(OR(B33="",G33=0),"",ROUND(I33/H33,2))</f>
      </c>
      <c r="K33" s="9">
        <f>IF(B33="","",IF(COUNTIF($B$2:B33,B33)=1,MAX($K$1:K32)+1,""))</f>
      </c>
    </row>
    <row r="34">
      <c r="G34" s="9">
        <f>IF(B34="","",D34+E34)</f>
      </c>
      <c r="H34" s="10">
        <f>IF(B34="","",ROUND(G34/60,2))</f>
      </c>
      <c r="I34" s="11">
        <f>IF(B34="","",C34-F34)</f>
      </c>
      <c r="J34" s="11">
        <f>IF(OR(B34="",G34=0),"",ROUND(I34/H34,2))</f>
      </c>
      <c r="K34" s="9">
        <f>IF(B34="","",IF(COUNTIF($B$2:B34,B34)=1,MAX($K$1:K33)+1,""))</f>
      </c>
    </row>
    <row r="35">
      <c r="G35" s="9">
        <f>IF(B35="","",D35+E35)</f>
      </c>
      <c r="H35" s="10">
        <f>IF(B35="","",ROUND(G35/60,2))</f>
      </c>
      <c r="I35" s="11">
        <f>IF(B35="","",C35-F35)</f>
      </c>
      <c r="J35" s="11">
        <f>IF(OR(B35="",G35=0),"",ROUND(I35/H35,2))</f>
      </c>
      <c r="K35" s="9">
        <f>IF(B35="","",IF(COUNTIF($B$2:B35,B35)=1,MAX($K$1:K34)+1,""))</f>
      </c>
    </row>
    <row r="36">
      <c r="G36" s="9">
        <f>IF(B36="","",D36+E36)</f>
      </c>
      <c r="H36" s="10">
        <f>IF(B36="","",ROUND(G36/60,2))</f>
      </c>
      <c r="I36" s="11">
        <f>IF(B36="","",C36-F36)</f>
      </c>
      <c r="J36" s="11">
        <f>IF(OR(B36="",G36=0),"",ROUND(I36/H36,2))</f>
      </c>
      <c r="K36" s="9">
        <f>IF(B36="","",IF(COUNTIF($B$2:B36,B36)=1,MAX($K$1:K35)+1,""))</f>
      </c>
    </row>
    <row r="37">
      <c r="G37" s="9">
        <f>IF(B37="","",D37+E37)</f>
      </c>
      <c r="H37" s="10">
        <f>IF(B37="","",ROUND(G37/60,2))</f>
      </c>
      <c r="I37" s="11">
        <f>IF(B37="","",C37-F37)</f>
      </c>
      <c r="J37" s="11">
        <f>IF(OR(B37="",G37=0),"",ROUND(I37/H37,2))</f>
      </c>
      <c r="K37" s="9">
        <f>IF(B37="","",IF(COUNTIF($B$2:B37,B37)=1,MAX($K$1:K36)+1,""))</f>
      </c>
    </row>
    <row r="38">
      <c r="G38" s="9">
        <f>IF(B38="","",D38+E38)</f>
      </c>
      <c r="H38" s="10">
        <f>IF(B38="","",ROUND(G38/60,2))</f>
      </c>
      <c r="I38" s="11">
        <f>IF(B38="","",C38-F38)</f>
      </c>
      <c r="J38" s="11">
        <f>IF(OR(B38="",G38=0),"",ROUND(I38/H38,2))</f>
      </c>
      <c r="K38" s="9">
        <f>IF(B38="","",IF(COUNTIF($B$2:B38,B38)=1,MAX($K$1:K37)+1,""))</f>
      </c>
    </row>
    <row r="39">
      <c r="G39" s="9">
        <f>IF(B39="","",D39+E39)</f>
      </c>
      <c r="H39" s="10">
        <f>IF(B39="","",ROUND(G39/60,2))</f>
      </c>
      <c r="I39" s="11">
        <f>IF(B39="","",C39-F39)</f>
      </c>
      <c r="J39" s="11">
        <f>IF(OR(B39="",G39=0),"",ROUND(I39/H39,2))</f>
      </c>
      <c r="K39" s="9">
        <f>IF(B39="","",IF(COUNTIF($B$2:B39,B39)=1,MAX($K$1:K38)+1,""))</f>
      </c>
    </row>
    <row r="40">
      <c r="G40" s="9">
        <f>IF(B40="","",D40+E40)</f>
      </c>
      <c r="H40" s="10">
        <f>IF(B40="","",ROUND(G40/60,2))</f>
      </c>
      <c r="I40" s="11">
        <f>IF(B40="","",C40-F40)</f>
      </c>
      <c r="J40" s="11">
        <f>IF(OR(B40="",G40=0),"",ROUND(I40/H40,2))</f>
      </c>
      <c r="K40" s="9">
        <f>IF(B40="","",IF(COUNTIF($B$2:B40,B40)=1,MAX($K$1:K39)+1,""))</f>
      </c>
    </row>
    <row r="41">
      <c r="G41" s="9">
        <f>IF(B41="","",D41+E41)</f>
      </c>
      <c r="H41" s="10">
        <f>IF(B41="","",ROUND(G41/60,2))</f>
      </c>
      <c r="I41" s="11">
        <f>IF(B41="","",C41-F41)</f>
      </c>
      <c r="J41" s="11">
        <f>IF(OR(B41="",G41=0),"",ROUND(I41/H41,2))</f>
      </c>
      <c r="K41" s="9">
        <f>IF(B41="","",IF(COUNTIF($B$2:B41,B41)=1,MAX($K$1:K40)+1,""))</f>
      </c>
    </row>
    <row r="42">
      <c r="G42" s="9">
        <f>IF(B42="","",D42+E42)</f>
      </c>
      <c r="H42" s="10">
        <f>IF(B42="","",ROUND(G42/60,2))</f>
      </c>
      <c r="I42" s="11">
        <f>IF(B42="","",C42-F42)</f>
      </c>
      <c r="J42" s="11">
        <f>IF(OR(B42="",G42=0),"",ROUND(I42/H42,2))</f>
      </c>
      <c r="K42" s="9">
        <f>IF(B42="","",IF(COUNTIF($B$2:B42,B42)=1,MAX($K$1:K41)+1,""))</f>
      </c>
    </row>
    <row r="43">
      <c r="G43" s="9">
        <f>IF(B43="","",D43+E43)</f>
      </c>
      <c r="H43" s="10">
        <f>IF(B43="","",ROUND(G43/60,2))</f>
      </c>
      <c r="I43" s="11">
        <f>IF(B43="","",C43-F43)</f>
      </c>
      <c r="J43" s="11">
        <f>IF(OR(B43="",G43=0),"",ROUND(I43/H43,2))</f>
      </c>
      <c r="K43" s="9">
        <f>IF(B43="","",IF(COUNTIF($B$2:B43,B43)=1,MAX($K$1:K42)+1,""))</f>
      </c>
    </row>
    <row r="44">
      <c r="G44" s="9">
        <f>IF(B44="","",D44+E44)</f>
      </c>
      <c r="H44" s="10">
        <f>IF(B44="","",ROUND(G44/60,2))</f>
      </c>
      <c r="I44" s="11">
        <f>IF(B44="","",C44-F44)</f>
      </c>
      <c r="J44" s="11">
        <f>IF(OR(B44="",G44=0),"",ROUND(I44/H44,2))</f>
      </c>
      <c r="K44" s="9">
        <f>IF(B44="","",IF(COUNTIF($B$2:B44,B44)=1,MAX($K$1:K43)+1,""))</f>
      </c>
    </row>
    <row r="45">
      <c r="G45" s="9">
        <f>IF(B45="","",D45+E45)</f>
      </c>
      <c r="H45" s="10">
        <f>IF(B45="","",ROUND(G45/60,2))</f>
      </c>
      <c r="I45" s="11">
        <f>IF(B45="","",C45-F45)</f>
      </c>
      <c r="J45" s="11">
        <f>IF(OR(B45="",G45=0),"",ROUND(I45/H45,2))</f>
      </c>
      <c r="K45" s="9">
        <f>IF(B45="","",IF(COUNTIF($B$2:B45,B45)=1,MAX($K$1:K44)+1,""))</f>
      </c>
    </row>
    <row r="46">
      <c r="G46" s="9">
        <f>IF(B46="","",D46+E46)</f>
      </c>
      <c r="H46" s="10">
        <f>IF(B46="","",ROUND(G46/60,2))</f>
      </c>
      <c r="I46" s="11">
        <f>IF(B46="","",C46-F46)</f>
      </c>
      <c r="J46" s="11">
        <f>IF(OR(B46="",G46=0),"",ROUND(I46/H46,2))</f>
      </c>
      <c r="K46" s="9">
        <f>IF(B46="","",IF(COUNTIF($B$2:B46,B46)=1,MAX($K$1:K45)+1,""))</f>
      </c>
    </row>
    <row r="47">
      <c r="G47" s="9">
        <f>IF(B47="","",D47+E47)</f>
      </c>
      <c r="H47" s="10">
        <f>IF(B47="","",ROUND(G47/60,2))</f>
      </c>
      <c r="I47" s="11">
        <f>IF(B47="","",C47-F47)</f>
      </c>
      <c r="J47" s="11">
        <f>IF(OR(B47="",G47=0),"",ROUND(I47/H47,2))</f>
      </c>
      <c r="K47" s="9">
        <f>IF(B47="","",IF(COUNTIF($B$2:B47,B47)=1,MAX($K$1:K46)+1,""))</f>
      </c>
    </row>
    <row r="48">
      <c r="G48" s="9">
        <f>IF(B48="","",D48+E48)</f>
      </c>
      <c r="H48" s="10">
        <f>IF(B48="","",ROUND(G48/60,2))</f>
      </c>
      <c r="I48" s="11">
        <f>IF(B48="","",C48-F48)</f>
      </c>
      <c r="J48" s="11">
        <f>IF(OR(B48="",G48=0),"",ROUND(I48/H48,2))</f>
      </c>
      <c r="K48" s="9">
        <f>IF(B48="","",IF(COUNTIF($B$2:B48,B48)=1,MAX($K$1:K47)+1,""))</f>
      </c>
    </row>
    <row r="49">
      <c r="G49" s="9">
        <f>IF(B49="","",D49+E49)</f>
      </c>
      <c r="H49" s="10">
        <f>IF(B49="","",ROUND(G49/60,2))</f>
      </c>
      <c r="I49" s="11">
        <f>IF(B49="","",C49-F49)</f>
      </c>
      <c r="J49" s="11">
        <f>IF(OR(B49="",G49=0),"",ROUND(I49/H49,2))</f>
      </c>
      <c r="K49" s="9">
        <f>IF(B49="","",IF(COUNTIF($B$2:B49,B49)=1,MAX($K$1:K48)+1,""))</f>
      </c>
    </row>
    <row r="50">
      <c r="G50" s="9">
        <f>IF(B50="","",D50+E50)</f>
      </c>
      <c r="H50" s="10">
        <f>IF(B50="","",ROUND(G50/60,2))</f>
      </c>
      <c r="I50" s="11">
        <f>IF(B50="","",C50-F50)</f>
      </c>
      <c r="J50" s="11">
        <f>IF(OR(B50="",G50=0),"",ROUND(I50/H50,2))</f>
      </c>
      <c r="K50" s="9">
        <f>IF(B50="","",IF(COUNTIF($B$2:B50,B50)=1,MAX($K$1:K49)+1,""))</f>
      </c>
    </row>
    <row r="51">
      <c r="G51" s="9">
        <f>IF(B51="","",D51+E51)</f>
      </c>
      <c r="H51" s="10">
        <f>IF(B51="","",ROUND(G51/60,2))</f>
      </c>
      <c r="I51" s="11">
        <f>IF(B51="","",C51-F51)</f>
      </c>
      <c r="J51" s="11">
        <f>IF(OR(B51="",G51=0),"",ROUND(I51/H51,2))</f>
      </c>
      <c r="K51" s="9">
        <f>IF(B51="","",IF(COUNTIF($B$2:B51,B51)=1,MAX($K$1:K50)+1,""))</f>
      </c>
    </row>
    <row r="52">
      <c r="G52" s="9">
        <f>IF(B52="","",D52+E52)</f>
      </c>
      <c r="H52" s="10">
        <f>IF(B52="","",ROUND(G52/60,2))</f>
      </c>
      <c r="I52" s="11">
        <f>IF(B52="","",C52-F52)</f>
      </c>
      <c r="J52" s="11">
        <f>IF(OR(B52="",G52=0),"",ROUND(I52/H52,2))</f>
      </c>
      <c r="K52" s="9">
        <f>IF(B52="","",IF(COUNTIF($B$2:B52,B52)=1,MAX($K$1:K51)+1,""))</f>
      </c>
    </row>
    <row r="53">
      <c r="G53" s="9">
        <f>IF(B53="","",D53+E53)</f>
      </c>
      <c r="H53" s="10">
        <f>IF(B53="","",ROUND(G53/60,2))</f>
      </c>
      <c r="I53" s="11">
        <f>IF(B53="","",C53-F53)</f>
      </c>
      <c r="J53" s="11">
        <f>IF(OR(B53="",G53=0),"",ROUND(I53/H53,2))</f>
      </c>
      <c r="K53" s="9">
        <f>IF(B53="","",IF(COUNTIF($B$2:B53,B53)=1,MAX($K$1:K52)+1,""))</f>
      </c>
    </row>
    <row r="54">
      <c r="G54" s="9">
        <f>IF(B54="","",D54+E54)</f>
      </c>
      <c r="H54" s="10">
        <f>IF(B54="","",ROUND(G54/60,2))</f>
      </c>
      <c r="I54" s="11">
        <f>IF(B54="","",C54-F54)</f>
      </c>
      <c r="J54" s="11">
        <f>IF(OR(B54="",G54=0),"",ROUND(I54/H54,2))</f>
      </c>
      <c r="K54" s="9">
        <f>IF(B54="","",IF(COUNTIF($B$2:B54,B54)=1,MAX($K$1:K53)+1,""))</f>
      </c>
    </row>
    <row r="55">
      <c r="G55" s="9">
        <f>IF(B55="","",D55+E55)</f>
      </c>
      <c r="H55" s="10">
        <f>IF(B55="","",ROUND(G55/60,2))</f>
      </c>
      <c r="I55" s="11">
        <f>IF(B55="","",C55-F55)</f>
      </c>
      <c r="J55" s="11">
        <f>IF(OR(B55="",G55=0),"",ROUND(I55/H55,2))</f>
      </c>
      <c r="K55" s="9">
        <f>IF(B55="","",IF(COUNTIF($B$2:B55,B55)=1,MAX($K$1:K54)+1,""))</f>
      </c>
    </row>
    <row r="56">
      <c r="G56" s="9">
        <f>IF(B56="","",D56+E56)</f>
      </c>
      <c r="H56" s="10">
        <f>IF(B56="","",ROUND(G56/60,2))</f>
      </c>
      <c r="I56" s="11">
        <f>IF(B56="","",C56-F56)</f>
      </c>
      <c r="J56" s="11">
        <f>IF(OR(B56="",G56=0),"",ROUND(I56/H56,2))</f>
      </c>
      <c r="K56" s="9">
        <f>IF(B56="","",IF(COUNTIF($B$2:B56,B56)=1,MAX($K$1:K55)+1,""))</f>
      </c>
    </row>
    <row r="57">
      <c r="G57" s="9">
        <f>IF(B57="","",D57+E57)</f>
      </c>
      <c r="H57" s="10">
        <f>IF(B57="","",ROUND(G57/60,2))</f>
      </c>
      <c r="I57" s="11">
        <f>IF(B57="","",C57-F57)</f>
      </c>
      <c r="J57" s="11">
        <f>IF(OR(B57="",G57=0),"",ROUND(I57/H57,2))</f>
      </c>
      <c r="K57" s="9">
        <f>IF(B57="","",IF(COUNTIF($B$2:B57,B57)=1,MAX($K$1:K56)+1,""))</f>
      </c>
    </row>
    <row r="58">
      <c r="G58" s="9">
        <f>IF(B58="","",D58+E58)</f>
      </c>
      <c r="H58" s="10">
        <f>IF(B58="","",ROUND(G58/60,2))</f>
      </c>
      <c r="I58" s="11">
        <f>IF(B58="","",C58-F58)</f>
      </c>
      <c r="J58" s="11">
        <f>IF(OR(B58="",G58=0),"",ROUND(I58/H58,2))</f>
      </c>
      <c r="K58" s="9">
        <f>IF(B58="","",IF(COUNTIF($B$2:B58,B58)=1,MAX($K$1:K57)+1,""))</f>
      </c>
    </row>
    <row r="59">
      <c r="G59" s="9">
        <f>IF(B59="","",D59+E59)</f>
      </c>
      <c r="H59" s="10">
        <f>IF(B59="","",ROUND(G59/60,2))</f>
      </c>
      <c r="I59" s="11">
        <f>IF(B59="","",C59-F59)</f>
      </c>
      <c r="J59" s="11">
        <f>IF(OR(B59="",G59=0),"",ROUND(I59/H59,2))</f>
      </c>
      <c r="K59" s="9">
        <f>IF(B59="","",IF(COUNTIF($B$2:B59,B59)=1,MAX($K$1:K58)+1,""))</f>
      </c>
    </row>
    <row r="60">
      <c r="G60" s="9">
        <f>IF(B60="","",D60+E60)</f>
      </c>
      <c r="H60" s="10">
        <f>IF(B60="","",ROUND(G60/60,2))</f>
      </c>
      <c r="I60" s="11">
        <f>IF(B60="","",C60-F60)</f>
      </c>
      <c r="J60" s="11">
        <f>IF(OR(B60="",G60=0),"",ROUND(I60/H60,2))</f>
      </c>
      <c r="K60" s="9">
        <f>IF(B60="","",IF(COUNTIF($B$2:B60,B60)=1,MAX($K$1:K59)+1,""))</f>
      </c>
    </row>
    <row r="61">
      <c r="G61" s="9">
        <f>IF(B61="","",D61+E61)</f>
      </c>
      <c r="H61" s="10">
        <f>IF(B61="","",ROUND(G61/60,2))</f>
      </c>
      <c r="I61" s="11">
        <f>IF(B61="","",C61-F61)</f>
      </c>
      <c r="J61" s="11">
        <f>IF(OR(B61="",G61=0),"",ROUND(I61/H61,2))</f>
      </c>
      <c r="K61" s="9">
        <f>IF(B61="","",IF(COUNTIF($B$2:B61,B61)=1,MAX($K$1:K60)+1,""))</f>
      </c>
    </row>
    <row r="62">
      <c r="G62" s="9">
        <f>IF(B62="","",D62+E62)</f>
      </c>
      <c r="H62" s="10">
        <f>IF(B62="","",ROUND(G62/60,2))</f>
      </c>
      <c r="I62" s="11">
        <f>IF(B62="","",C62-F62)</f>
      </c>
      <c r="J62" s="11">
        <f>IF(OR(B62="",G62=0),"",ROUND(I62/H62,2))</f>
      </c>
      <c r="K62" s="9">
        <f>IF(B62="","",IF(COUNTIF($B$2:B62,B62)=1,MAX($K$1:K61)+1,""))</f>
      </c>
    </row>
    <row r="63">
      <c r="G63" s="9">
        <f>IF(B63="","",D63+E63)</f>
      </c>
      <c r="H63" s="10">
        <f>IF(B63="","",ROUND(G63/60,2))</f>
      </c>
      <c r="I63" s="11">
        <f>IF(B63="","",C63-F63)</f>
      </c>
      <c r="J63" s="11">
        <f>IF(OR(B63="",G63=0),"",ROUND(I63/H63,2))</f>
      </c>
      <c r="K63" s="9">
        <f>IF(B63="","",IF(COUNTIF($B$2:B63,B63)=1,MAX($K$1:K62)+1,""))</f>
      </c>
    </row>
    <row r="64">
      <c r="G64" s="9">
        <f>IF(B64="","",D64+E64)</f>
      </c>
      <c r="H64" s="10">
        <f>IF(B64="","",ROUND(G64/60,2))</f>
      </c>
      <c r="I64" s="11">
        <f>IF(B64="","",C64-F64)</f>
      </c>
      <c r="J64" s="11">
        <f>IF(OR(B64="",G64=0),"",ROUND(I64/H64,2))</f>
      </c>
      <c r="K64" s="9">
        <f>IF(B64="","",IF(COUNTIF($B$2:B64,B64)=1,MAX($K$1:K63)+1,""))</f>
      </c>
    </row>
    <row r="65">
      <c r="G65" s="9">
        <f>IF(B65="","",D65+E65)</f>
      </c>
      <c r="H65" s="10">
        <f>IF(B65="","",ROUND(G65/60,2))</f>
      </c>
      <c r="I65" s="11">
        <f>IF(B65="","",C65-F65)</f>
      </c>
      <c r="J65" s="11">
        <f>IF(OR(B65="",G65=0),"",ROUND(I65/H65,2))</f>
      </c>
      <c r="K65" s="9">
        <f>IF(B65="","",IF(COUNTIF($B$2:B65,B65)=1,MAX($K$1:K64)+1,""))</f>
      </c>
    </row>
    <row r="66">
      <c r="G66" s="9">
        <f>IF(B66="","",D66+E66)</f>
      </c>
      <c r="H66" s="10">
        <f>IF(B66="","",ROUND(G66/60,2))</f>
      </c>
      <c r="I66" s="11">
        <f>IF(B66="","",C66-F66)</f>
      </c>
      <c r="J66" s="11">
        <f>IF(OR(B66="",G66=0),"",ROUND(I66/H66,2))</f>
      </c>
      <c r="K66" s="9">
        <f>IF(B66="","",IF(COUNTIF($B$2:B66,B66)=1,MAX($K$1:K65)+1,""))</f>
      </c>
    </row>
    <row r="67">
      <c r="G67" s="9">
        <f>IF(B67="","",D67+E67)</f>
      </c>
      <c r="H67" s="10">
        <f>IF(B67="","",ROUND(G67/60,2))</f>
      </c>
      <c r="I67" s="11">
        <f>IF(B67="","",C67-F67)</f>
      </c>
      <c r="J67" s="11">
        <f>IF(OR(B67="",G67=0),"",ROUND(I67/H67,2))</f>
      </c>
      <c r="K67" s="9">
        <f>IF(B67="","",IF(COUNTIF($B$2:B67,B67)=1,MAX($K$1:K66)+1,""))</f>
      </c>
    </row>
    <row r="68">
      <c r="G68" s="9">
        <f>IF(B68="","",D68+E68)</f>
      </c>
      <c r="H68" s="10">
        <f>IF(B68="","",ROUND(G68/60,2))</f>
      </c>
      <c r="I68" s="11">
        <f>IF(B68="","",C68-F68)</f>
      </c>
      <c r="J68" s="11">
        <f>IF(OR(B68="",G68=0),"",ROUND(I68/H68,2))</f>
      </c>
      <c r="K68" s="9">
        <f>IF(B68="","",IF(COUNTIF($B$2:B68,B68)=1,MAX($K$1:K67)+1,""))</f>
      </c>
    </row>
    <row r="69">
      <c r="G69" s="9">
        <f>IF(B69="","",D69+E69)</f>
      </c>
      <c r="H69" s="10">
        <f>IF(B69="","",ROUND(G69/60,2))</f>
      </c>
      <c r="I69" s="11">
        <f>IF(B69="","",C69-F69)</f>
      </c>
      <c r="J69" s="11">
        <f>IF(OR(B69="",G69=0),"",ROUND(I69/H69,2))</f>
      </c>
      <c r="K69" s="9">
        <f>IF(B69="","",IF(COUNTIF($B$2:B69,B69)=1,MAX($K$1:K68)+1,""))</f>
      </c>
    </row>
    <row r="70">
      <c r="G70" s="9">
        <f>IF(B70="","",D70+E70)</f>
      </c>
      <c r="H70" s="10">
        <f>IF(B70="","",ROUND(G70/60,2))</f>
      </c>
      <c r="I70" s="11">
        <f>IF(B70="","",C70-F70)</f>
      </c>
      <c r="J70" s="11">
        <f>IF(OR(B70="",G70=0),"",ROUND(I70/H70,2))</f>
      </c>
      <c r="K70" s="9">
        <f>IF(B70="","",IF(COUNTIF($B$2:B70,B70)=1,MAX($K$1:K69)+1,""))</f>
      </c>
    </row>
    <row r="71">
      <c r="G71" s="9">
        <f>IF(B71="","",D71+E71)</f>
      </c>
      <c r="H71" s="10">
        <f>IF(B71="","",ROUND(G71/60,2))</f>
      </c>
      <c r="I71" s="11">
        <f>IF(B71="","",C71-F71)</f>
      </c>
      <c r="J71" s="11">
        <f>IF(OR(B71="",G71=0),"",ROUND(I71/H71,2))</f>
      </c>
      <c r="K71" s="9">
        <f>IF(B71="","",IF(COUNTIF($B$2:B71,B71)=1,MAX($K$1:K70)+1,""))</f>
      </c>
    </row>
    <row r="72">
      <c r="G72" s="9">
        <f>IF(B72="","",D72+E72)</f>
      </c>
      <c r="H72" s="10">
        <f>IF(B72="","",ROUND(G72/60,2))</f>
      </c>
      <c r="I72" s="11">
        <f>IF(B72="","",C72-F72)</f>
      </c>
      <c r="J72" s="11">
        <f>IF(OR(B72="",G72=0),"",ROUND(I72/H72,2))</f>
      </c>
      <c r="K72" s="9">
        <f>IF(B72="","",IF(COUNTIF($B$2:B72,B72)=1,MAX($K$1:K71)+1,""))</f>
      </c>
    </row>
    <row r="73">
      <c r="G73" s="9">
        <f>IF(B73="","",D73+E73)</f>
      </c>
      <c r="H73" s="10">
        <f>IF(B73="","",ROUND(G73/60,2))</f>
      </c>
      <c r="I73" s="11">
        <f>IF(B73="","",C73-F73)</f>
      </c>
      <c r="J73" s="11">
        <f>IF(OR(B73="",G73=0),"",ROUND(I73/H73,2))</f>
      </c>
      <c r="K73" s="9">
        <f>IF(B73="","",IF(COUNTIF($B$2:B73,B73)=1,MAX($K$1:K72)+1,""))</f>
      </c>
    </row>
    <row r="74">
      <c r="G74" s="9">
        <f>IF(B74="","",D74+E74)</f>
      </c>
      <c r="H74" s="10">
        <f>IF(B74="","",ROUND(G74/60,2))</f>
      </c>
      <c r="I74" s="11">
        <f>IF(B74="","",C74-F74)</f>
      </c>
      <c r="J74" s="11">
        <f>IF(OR(B74="",G74=0),"",ROUND(I74/H74,2))</f>
      </c>
      <c r="K74" s="9">
        <f>IF(B74="","",IF(COUNTIF($B$2:B74,B74)=1,MAX($K$1:K73)+1,""))</f>
      </c>
    </row>
    <row r="75">
      <c r="G75" s="9">
        <f>IF(B75="","",D75+E75)</f>
      </c>
      <c r="H75" s="10">
        <f>IF(B75="","",ROUND(G75/60,2))</f>
      </c>
      <c r="I75" s="11">
        <f>IF(B75="","",C75-F75)</f>
      </c>
      <c r="J75" s="11">
        <f>IF(OR(B75="",G75=0),"",ROUND(I75/H75,2))</f>
      </c>
      <c r="K75" s="9">
        <f>IF(B75="","",IF(COUNTIF($B$2:B75,B75)=1,MAX($K$1:K74)+1,""))</f>
      </c>
    </row>
    <row r="76">
      <c r="G76" s="9">
        <f>IF(B76="","",D76+E76)</f>
      </c>
      <c r="H76" s="10">
        <f>IF(B76="","",ROUND(G76/60,2))</f>
      </c>
      <c r="I76" s="11">
        <f>IF(B76="","",C76-F76)</f>
      </c>
      <c r="J76" s="11">
        <f>IF(OR(B76="",G76=0),"",ROUND(I76/H76,2))</f>
      </c>
      <c r="K76" s="9">
        <f>IF(B76="","",IF(COUNTIF($B$2:B76,B76)=1,MAX($K$1:K75)+1,""))</f>
      </c>
    </row>
    <row r="77">
      <c r="G77" s="9">
        <f>IF(B77="","",D77+E77)</f>
      </c>
      <c r="H77" s="10">
        <f>IF(B77="","",ROUND(G77/60,2))</f>
      </c>
      <c r="I77" s="11">
        <f>IF(B77="","",C77-F77)</f>
      </c>
      <c r="J77" s="11">
        <f>IF(OR(B77="",G77=0),"",ROUND(I77/H77,2))</f>
      </c>
      <c r="K77" s="9">
        <f>IF(B77="","",IF(COUNTIF($B$2:B77,B77)=1,MAX($K$1:K76)+1,""))</f>
      </c>
    </row>
    <row r="78">
      <c r="G78" s="9">
        <f>IF(B78="","",D78+E78)</f>
      </c>
      <c r="H78" s="10">
        <f>IF(B78="","",ROUND(G78/60,2))</f>
      </c>
      <c r="I78" s="11">
        <f>IF(B78="","",C78-F78)</f>
      </c>
      <c r="J78" s="11">
        <f>IF(OR(B78="",G78=0),"",ROUND(I78/H78,2))</f>
      </c>
      <c r="K78" s="9">
        <f>IF(B78="","",IF(COUNTIF($B$2:B78,B78)=1,MAX($K$1:K77)+1,""))</f>
      </c>
    </row>
    <row r="79">
      <c r="G79" s="9">
        <f>IF(B79="","",D79+E79)</f>
      </c>
      <c r="H79" s="10">
        <f>IF(B79="","",ROUND(G79/60,2))</f>
      </c>
      <c r="I79" s="11">
        <f>IF(B79="","",C79-F79)</f>
      </c>
      <c r="J79" s="11">
        <f>IF(OR(B79="",G79=0),"",ROUND(I79/H79,2))</f>
      </c>
      <c r="K79" s="9">
        <f>IF(B79="","",IF(COUNTIF($B$2:B79,B79)=1,MAX($K$1:K78)+1,""))</f>
      </c>
    </row>
    <row r="80">
      <c r="G80" s="9">
        <f>IF(B80="","",D80+E80)</f>
      </c>
      <c r="H80" s="10">
        <f>IF(B80="","",ROUND(G80/60,2))</f>
      </c>
      <c r="I80" s="11">
        <f>IF(B80="","",C80-F80)</f>
      </c>
      <c r="J80" s="11">
        <f>IF(OR(B80="",G80=0),"",ROUND(I80/H80,2))</f>
      </c>
      <c r="K80" s="9">
        <f>IF(B80="","",IF(COUNTIF($B$2:B80,B80)=1,MAX($K$1:K79)+1,""))</f>
      </c>
    </row>
    <row r="81">
      <c r="G81" s="9">
        <f>IF(B81="","",D81+E81)</f>
      </c>
      <c r="H81" s="10">
        <f>IF(B81="","",ROUND(G81/60,2))</f>
      </c>
      <c r="I81" s="11">
        <f>IF(B81="","",C81-F81)</f>
      </c>
      <c r="J81" s="11">
        <f>IF(OR(B81="",G81=0),"",ROUND(I81/H81,2))</f>
      </c>
      <c r="K81" s="9">
        <f>IF(B81="","",IF(COUNTIF($B$2:B81,B81)=1,MAX($K$1:K80)+1,""))</f>
      </c>
    </row>
    <row r="82">
      <c r="G82" s="9">
        <f>IF(B82="","",D82+E82)</f>
      </c>
      <c r="H82" s="10">
        <f>IF(B82="","",ROUND(G82/60,2))</f>
      </c>
      <c r="I82" s="11">
        <f>IF(B82="","",C82-F82)</f>
      </c>
      <c r="J82" s="11">
        <f>IF(OR(B82="",G82=0),"",ROUND(I82/H82,2))</f>
      </c>
      <c r="K82" s="9">
        <f>IF(B82="","",IF(COUNTIF($B$2:B82,B82)=1,MAX($K$1:K81)+1,""))</f>
      </c>
    </row>
    <row r="83">
      <c r="G83" s="9">
        <f>IF(B83="","",D83+E83)</f>
      </c>
      <c r="H83" s="10">
        <f>IF(B83="","",ROUND(G83/60,2))</f>
      </c>
      <c r="I83" s="11">
        <f>IF(B83="","",C83-F83)</f>
      </c>
      <c r="J83" s="11">
        <f>IF(OR(B83="",G83=0),"",ROUND(I83/H83,2))</f>
      </c>
      <c r="K83" s="9">
        <f>IF(B83="","",IF(COUNTIF($B$2:B83,B83)=1,MAX($K$1:K82)+1,""))</f>
      </c>
    </row>
    <row r="84">
      <c r="G84" s="9">
        <f>IF(B84="","",D84+E84)</f>
      </c>
      <c r="H84" s="10">
        <f>IF(B84="","",ROUND(G84/60,2))</f>
      </c>
      <c r="I84" s="11">
        <f>IF(B84="","",C84-F84)</f>
      </c>
      <c r="J84" s="11">
        <f>IF(OR(B84="",G84=0),"",ROUND(I84/H84,2))</f>
      </c>
      <c r="K84" s="9">
        <f>IF(B84="","",IF(COUNTIF($B$2:B84,B84)=1,MAX($K$1:K83)+1,""))</f>
      </c>
    </row>
    <row r="85">
      <c r="G85" s="9">
        <f>IF(B85="","",D85+E85)</f>
      </c>
      <c r="H85" s="10">
        <f>IF(B85="","",ROUND(G85/60,2))</f>
      </c>
      <c r="I85" s="11">
        <f>IF(B85="","",C85-F85)</f>
      </c>
      <c r="J85" s="11">
        <f>IF(OR(B85="",G85=0),"",ROUND(I85/H85,2))</f>
      </c>
      <c r="K85" s="9">
        <f>IF(B85="","",IF(COUNTIF($B$2:B85,B85)=1,MAX($K$1:K84)+1,""))</f>
      </c>
    </row>
    <row r="86">
      <c r="G86" s="9">
        <f>IF(B86="","",D86+E86)</f>
      </c>
      <c r="H86" s="10">
        <f>IF(B86="","",ROUND(G86/60,2))</f>
      </c>
      <c r="I86" s="11">
        <f>IF(B86="","",C86-F86)</f>
      </c>
      <c r="J86" s="11">
        <f>IF(OR(B86="",G86=0),"",ROUND(I86/H86,2))</f>
      </c>
      <c r="K86" s="9">
        <f>IF(B86="","",IF(COUNTIF($B$2:B86,B86)=1,MAX($K$1:K85)+1,""))</f>
      </c>
    </row>
    <row r="87">
      <c r="G87" s="9">
        <f>IF(B87="","",D87+E87)</f>
      </c>
      <c r="H87" s="10">
        <f>IF(B87="","",ROUND(G87/60,2))</f>
      </c>
      <c r="I87" s="11">
        <f>IF(B87="","",C87-F87)</f>
      </c>
      <c r="J87" s="11">
        <f>IF(OR(B87="",G87=0),"",ROUND(I87/H87,2))</f>
      </c>
      <c r="K87" s="9">
        <f>IF(B87="","",IF(COUNTIF($B$2:B87,B87)=1,MAX($K$1:K86)+1,""))</f>
      </c>
    </row>
    <row r="88">
      <c r="G88" s="9">
        <f>IF(B88="","",D88+E88)</f>
      </c>
      <c r="H88" s="10">
        <f>IF(B88="","",ROUND(G88/60,2))</f>
      </c>
      <c r="I88" s="11">
        <f>IF(B88="","",C88-F88)</f>
      </c>
      <c r="J88" s="11">
        <f>IF(OR(B88="",G88=0),"",ROUND(I88/H88,2))</f>
      </c>
      <c r="K88" s="9">
        <f>IF(B88="","",IF(COUNTIF($B$2:B88,B88)=1,MAX($K$1:K87)+1,""))</f>
      </c>
    </row>
    <row r="89">
      <c r="G89" s="9">
        <f>IF(B89="","",D89+E89)</f>
      </c>
      <c r="H89" s="10">
        <f>IF(B89="","",ROUND(G89/60,2))</f>
      </c>
      <c r="I89" s="11">
        <f>IF(B89="","",C89-F89)</f>
      </c>
      <c r="J89" s="11">
        <f>IF(OR(B89="",G89=0),"",ROUND(I89/H89,2))</f>
      </c>
      <c r="K89" s="9">
        <f>IF(B89="","",IF(COUNTIF($B$2:B89,B89)=1,MAX($K$1:K88)+1,""))</f>
      </c>
    </row>
    <row r="90">
      <c r="G90" s="9">
        <f>IF(B90="","",D90+E90)</f>
      </c>
      <c r="H90" s="10">
        <f>IF(B90="","",ROUND(G90/60,2))</f>
      </c>
      <c r="I90" s="11">
        <f>IF(B90="","",C90-F90)</f>
      </c>
      <c r="J90" s="11">
        <f>IF(OR(B90="",G90=0),"",ROUND(I90/H90,2))</f>
      </c>
      <c r="K90" s="9">
        <f>IF(B90="","",IF(COUNTIF($B$2:B90,B90)=1,MAX($K$1:K89)+1,""))</f>
      </c>
    </row>
    <row r="91">
      <c r="G91" s="9">
        <f>IF(B91="","",D91+E91)</f>
      </c>
      <c r="H91" s="10">
        <f>IF(B91="","",ROUND(G91/60,2))</f>
      </c>
      <c r="I91" s="11">
        <f>IF(B91="","",C91-F91)</f>
      </c>
      <c r="J91" s="11">
        <f>IF(OR(B91="",G91=0),"",ROUND(I91/H91,2))</f>
      </c>
      <c r="K91" s="9">
        <f>IF(B91="","",IF(COUNTIF($B$2:B91,B91)=1,MAX($K$1:K90)+1,""))</f>
      </c>
    </row>
    <row r="92">
      <c r="G92" s="9">
        <f>IF(B92="","",D92+E92)</f>
      </c>
      <c r="H92" s="10">
        <f>IF(B92="","",ROUND(G92/60,2))</f>
      </c>
      <c r="I92" s="11">
        <f>IF(B92="","",C92-F92)</f>
      </c>
      <c r="J92" s="11">
        <f>IF(OR(B92="",G92=0),"",ROUND(I92/H92,2))</f>
      </c>
      <c r="K92" s="9">
        <f>IF(B92="","",IF(COUNTIF($B$2:B92,B92)=1,MAX($K$1:K91)+1,""))</f>
      </c>
    </row>
    <row r="93">
      <c r="G93" s="9">
        <f>IF(B93="","",D93+E93)</f>
      </c>
      <c r="H93" s="10">
        <f>IF(B93="","",ROUND(G93/60,2))</f>
      </c>
      <c r="I93" s="11">
        <f>IF(B93="","",C93-F93)</f>
      </c>
      <c r="J93" s="11">
        <f>IF(OR(B93="",G93=0),"",ROUND(I93/H93,2))</f>
      </c>
      <c r="K93" s="9">
        <f>IF(B93="","",IF(COUNTIF($B$2:B93,B93)=1,MAX($K$1:K92)+1,""))</f>
      </c>
    </row>
    <row r="94">
      <c r="G94" s="9">
        <f>IF(B94="","",D94+E94)</f>
      </c>
      <c r="H94" s="10">
        <f>IF(B94="","",ROUND(G94/60,2))</f>
      </c>
      <c r="I94" s="11">
        <f>IF(B94="","",C94-F94)</f>
      </c>
      <c r="J94" s="11">
        <f>IF(OR(B94="",G94=0),"",ROUND(I94/H94,2))</f>
      </c>
      <c r="K94" s="9">
        <f>IF(B94="","",IF(COUNTIF($B$2:B94,B94)=1,MAX($K$1:K93)+1,""))</f>
      </c>
    </row>
    <row r="95">
      <c r="G95" s="9">
        <f>IF(B95="","",D95+E95)</f>
      </c>
      <c r="H95" s="10">
        <f>IF(B95="","",ROUND(G95/60,2))</f>
      </c>
      <c r="I95" s="11">
        <f>IF(B95="","",C95-F95)</f>
      </c>
      <c r="J95" s="11">
        <f>IF(OR(B95="",G95=0),"",ROUND(I95/H95,2))</f>
      </c>
      <c r="K95" s="9">
        <f>IF(B95="","",IF(COUNTIF($B$2:B95,B95)=1,MAX($K$1:K94)+1,""))</f>
      </c>
    </row>
    <row r="96">
      <c r="G96" s="9">
        <f>IF(B96="","",D96+E96)</f>
      </c>
      <c r="H96" s="10">
        <f>IF(B96="","",ROUND(G96/60,2))</f>
      </c>
      <c r="I96" s="11">
        <f>IF(B96="","",C96-F96)</f>
      </c>
      <c r="J96" s="11">
        <f>IF(OR(B96="",G96=0),"",ROUND(I96/H96,2))</f>
      </c>
      <c r="K96" s="9">
        <f>IF(B96="","",IF(COUNTIF($B$2:B96,B96)=1,MAX($K$1:K95)+1,""))</f>
      </c>
    </row>
    <row r="97">
      <c r="G97" s="9">
        <f>IF(B97="","",D97+E97)</f>
      </c>
      <c r="H97" s="10">
        <f>IF(B97="","",ROUND(G97/60,2))</f>
      </c>
      <c r="I97" s="11">
        <f>IF(B97="","",C97-F97)</f>
      </c>
      <c r="J97" s="11">
        <f>IF(OR(B97="",G97=0),"",ROUND(I97/H97,2))</f>
      </c>
      <c r="K97" s="9">
        <f>IF(B97="","",IF(COUNTIF($B$2:B97,B97)=1,MAX($K$1:K96)+1,""))</f>
      </c>
    </row>
    <row r="98">
      <c r="G98" s="9">
        <f>IF(B98="","",D98+E98)</f>
      </c>
      <c r="H98" s="10">
        <f>IF(B98="","",ROUND(G98/60,2))</f>
      </c>
      <c r="I98" s="11">
        <f>IF(B98="","",C98-F98)</f>
      </c>
      <c r="J98" s="11">
        <f>IF(OR(B98="",G98=0),"",ROUND(I98/H98,2))</f>
      </c>
      <c r="K98" s="9">
        <f>IF(B98="","",IF(COUNTIF($B$2:B98,B98)=1,MAX($K$1:K97)+1,""))</f>
      </c>
    </row>
    <row r="99">
      <c r="G99" s="9">
        <f>IF(B99="","",D99+E99)</f>
      </c>
      <c r="H99" s="10">
        <f>IF(B99="","",ROUND(G99/60,2))</f>
      </c>
      <c r="I99" s="11">
        <f>IF(B99="","",C99-F99)</f>
      </c>
      <c r="J99" s="11">
        <f>IF(OR(B99="",G99=0),"",ROUND(I99/H99,2))</f>
      </c>
      <c r="K99" s="9">
        <f>IF(B99="","",IF(COUNTIF($B$2:B99,B99)=1,MAX($K$1:K98)+1,""))</f>
      </c>
    </row>
    <row r="100">
      <c r="G100" s="9">
        <f>IF(B100="","",D100+E100)</f>
      </c>
      <c r="H100" s="10">
        <f>IF(B100="","",ROUND(G100/60,2))</f>
      </c>
      <c r="I100" s="11">
        <f>IF(B100="","",C100-F100)</f>
      </c>
      <c r="J100" s="11">
        <f>IF(OR(B100="",G100=0),"",ROUND(I100/H100,2))</f>
      </c>
      <c r="K100" s="9">
        <f>IF(B100="","",IF(COUNTIF($B$2:B100,B100)=1,MAX($K$1:K99)+1,""))</f>
      </c>
    </row>
    <row r="101">
      <c r="G101" s="9">
        <f>IF(B101="","",D101+E101)</f>
      </c>
      <c r="H101" s="10">
        <f>IF(B101="","",ROUND(G101/60,2))</f>
      </c>
      <c r="I101" s="11">
        <f>IF(B101="","",C101-F101)</f>
      </c>
      <c r="J101" s="11">
        <f>IF(OR(B101="",G101=0),"",ROUND(I101/H101,2))</f>
      </c>
      <c r="K101" s="9">
        <f>IF(B101="","",IF(COUNTIF($B$2:B101,B101)=1,MAX($K$1:K100)+1,""))</f>
      </c>
    </row>
    <row r="102">
      <c r="G102" s="9">
        <f>IF(B102="","",D102+E102)</f>
      </c>
      <c r="H102" s="10">
        <f>IF(B102="","",ROUND(G102/60,2))</f>
      </c>
      <c r="I102" s="11">
        <f>IF(B102="","",C102-F102)</f>
      </c>
      <c r="J102" s="11">
        <f>IF(OR(B102="",G102=0),"",ROUND(I102/H102,2))</f>
      </c>
      <c r="K102" s="9">
        <f>IF(B102="","",IF(COUNTIF($B$2:B102,B102)=1,MAX($K$1:K101)+1,""))</f>
      </c>
    </row>
    <row r="103">
      <c r="G103" s="9">
        <f>IF(B103="","",D103+E103)</f>
      </c>
      <c r="H103" s="10">
        <f>IF(B103="","",ROUND(G103/60,2))</f>
      </c>
      <c r="I103" s="11">
        <f>IF(B103="","",C103-F103)</f>
      </c>
      <c r="J103" s="11">
        <f>IF(OR(B103="",G103=0),"",ROUND(I103/H103,2))</f>
      </c>
      <c r="K103" s="9">
        <f>IF(B103="","",IF(COUNTIF($B$2:B103,B103)=1,MAX($K$1:K102)+1,""))</f>
      </c>
    </row>
    <row r="104">
      <c r="G104" s="9">
        <f>IF(B104="","",D104+E104)</f>
      </c>
      <c r="H104" s="10">
        <f>IF(B104="","",ROUND(G104/60,2))</f>
      </c>
      <c r="I104" s="11">
        <f>IF(B104="","",C104-F104)</f>
      </c>
      <c r="J104" s="11">
        <f>IF(OR(B104="",G104=0),"",ROUND(I104/H104,2))</f>
      </c>
      <c r="K104" s="9">
        <f>IF(B104="","",IF(COUNTIF($B$2:B104,B104)=1,MAX($K$1:K103)+1,""))</f>
      </c>
    </row>
    <row r="105">
      <c r="G105" s="9">
        <f>IF(B105="","",D105+E105)</f>
      </c>
      <c r="H105" s="10">
        <f>IF(B105="","",ROUND(G105/60,2))</f>
      </c>
      <c r="I105" s="11">
        <f>IF(B105="","",C105-F105)</f>
      </c>
      <c r="J105" s="11">
        <f>IF(OR(B105="",G105=0),"",ROUND(I105/H105,2))</f>
      </c>
      <c r="K105" s="9">
        <f>IF(B105="","",IF(COUNTIF($B$2:B105,B105)=1,MAX($K$1:K104)+1,""))</f>
      </c>
    </row>
    <row r="106">
      <c r="G106" s="9">
        <f>IF(B106="","",D106+E106)</f>
      </c>
      <c r="H106" s="10">
        <f>IF(B106="","",ROUND(G106/60,2))</f>
      </c>
      <c r="I106" s="11">
        <f>IF(B106="","",C106-F106)</f>
      </c>
      <c r="J106" s="11">
        <f>IF(OR(B106="",G106=0),"",ROUND(I106/H106,2))</f>
      </c>
      <c r="K106" s="9">
        <f>IF(B106="","",IF(COUNTIF($B$2:B106,B106)=1,MAX($K$1:K105)+1,""))</f>
      </c>
    </row>
    <row r="107">
      <c r="G107" s="9">
        <f>IF(B107="","",D107+E107)</f>
      </c>
      <c r="H107" s="10">
        <f>IF(B107="","",ROUND(G107/60,2))</f>
      </c>
      <c r="I107" s="11">
        <f>IF(B107="","",C107-F107)</f>
      </c>
      <c r="J107" s="11">
        <f>IF(OR(B107="",G107=0),"",ROUND(I107/H107,2))</f>
      </c>
      <c r="K107" s="9">
        <f>IF(B107="","",IF(COUNTIF($B$2:B107,B107)=1,MAX($K$1:K106)+1,""))</f>
      </c>
    </row>
    <row r="108">
      <c r="G108" s="9">
        <f>IF(B108="","",D108+E108)</f>
      </c>
      <c r="H108" s="10">
        <f>IF(B108="","",ROUND(G108/60,2))</f>
      </c>
      <c r="I108" s="11">
        <f>IF(B108="","",C108-F108)</f>
      </c>
      <c r="J108" s="11">
        <f>IF(OR(B108="",G108=0),"",ROUND(I108/H108,2))</f>
      </c>
      <c r="K108" s="9">
        <f>IF(B108="","",IF(COUNTIF($B$2:B108,B108)=1,MAX($K$1:K107)+1,""))</f>
      </c>
    </row>
    <row r="109">
      <c r="G109" s="9">
        <f>IF(B109="","",D109+E109)</f>
      </c>
      <c r="H109" s="10">
        <f>IF(B109="","",ROUND(G109/60,2))</f>
      </c>
      <c r="I109" s="11">
        <f>IF(B109="","",C109-F109)</f>
      </c>
      <c r="J109" s="11">
        <f>IF(OR(B109="",G109=0),"",ROUND(I109/H109,2))</f>
      </c>
      <c r="K109" s="9">
        <f>IF(B109="","",IF(COUNTIF($B$2:B109,B109)=1,MAX($K$1:K108)+1,""))</f>
      </c>
    </row>
    <row r="110">
      <c r="G110" s="9">
        <f>IF(B110="","",D110+E110)</f>
      </c>
      <c r="H110" s="10">
        <f>IF(B110="","",ROUND(G110/60,2))</f>
      </c>
      <c r="I110" s="11">
        <f>IF(B110="","",C110-F110)</f>
      </c>
      <c r="J110" s="11">
        <f>IF(OR(B110="",G110=0),"",ROUND(I110/H110,2))</f>
      </c>
      <c r="K110" s="9">
        <f>IF(B110="","",IF(COUNTIF($B$2:B110,B110)=1,MAX($K$1:K109)+1,""))</f>
      </c>
    </row>
    <row r="111">
      <c r="G111" s="9">
        <f>IF(B111="","",D111+E111)</f>
      </c>
      <c r="H111" s="10">
        <f>IF(B111="","",ROUND(G111/60,2))</f>
      </c>
      <c r="I111" s="11">
        <f>IF(B111="","",C111-F111)</f>
      </c>
      <c r="J111" s="11">
        <f>IF(OR(B111="",G111=0),"",ROUND(I111/H111,2))</f>
      </c>
      <c r="K111" s="9">
        <f>IF(B111="","",IF(COUNTIF($B$2:B111,B111)=1,MAX($K$1:K110)+1,""))</f>
      </c>
    </row>
    <row r="112">
      <c r="G112" s="9">
        <f>IF(B112="","",D112+E112)</f>
      </c>
      <c r="H112" s="10">
        <f>IF(B112="","",ROUND(G112/60,2))</f>
      </c>
      <c r="I112" s="11">
        <f>IF(B112="","",C112-F112)</f>
      </c>
      <c r="J112" s="11">
        <f>IF(OR(B112="",G112=0),"",ROUND(I112/H112,2))</f>
      </c>
      <c r="K112" s="9">
        <f>IF(B112="","",IF(COUNTIF($B$2:B112,B112)=1,MAX($K$1:K111)+1,""))</f>
      </c>
    </row>
    <row r="113">
      <c r="G113" s="9">
        <f>IF(B113="","",D113+E113)</f>
      </c>
      <c r="H113" s="10">
        <f>IF(B113="","",ROUND(G113/60,2))</f>
      </c>
      <c r="I113" s="11">
        <f>IF(B113="","",C113-F113)</f>
      </c>
      <c r="J113" s="11">
        <f>IF(OR(B113="",G113=0),"",ROUND(I113/H113,2))</f>
      </c>
      <c r="K113" s="9">
        <f>IF(B113="","",IF(COUNTIF($B$2:B113,B113)=1,MAX($K$1:K112)+1,""))</f>
      </c>
    </row>
    <row r="114">
      <c r="G114" s="9">
        <f>IF(B114="","",D114+E114)</f>
      </c>
      <c r="H114" s="10">
        <f>IF(B114="","",ROUND(G114/60,2))</f>
      </c>
      <c r="I114" s="11">
        <f>IF(B114="","",C114-F114)</f>
      </c>
      <c r="J114" s="11">
        <f>IF(OR(B114="",G114=0),"",ROUND(I114/H114,2))</f>
      </c>
      <c r="K114" s="9">
        <f>IF(B114="","",IF(COUNTIF($B$2:B114,B114)=1,MAX($K$1:K113)+1,""))</f>
      </c>
    </row>
    <row r="115">
      <c r="G115" s="9">
        <f>IF(B115="","",D115+E115)</f>
      </c>
      <c r="H115" s="10">
        <f>IF(B115="","",ROUND(G115/60,2))</f>
      </c>
      <c r="I115" s="11">
        <f>IF(B115="","",C115-F115)</f>
      </c>
      <c r="J115" s="11">
        <f>IF(OR(B115="",G115=0),"",ROUND(I115/H115,2))</f>
      </c>
      <c r="K115" s="9">
        <f>IF(B115="","",IF(COUNTIF($B$2:B115,B115)=1,MAX($K$1:K114)+1,""))</f>
      </c>
    </row>
    <row r="116">
      <c r="G116" s="9">
        <f>IF(B116="","",D116+E116)</f>
      </c>
      <c r="H116" s="10">
        <f>IF(B116="","",ROUND(G116/60,2))</f>
      </c>
      <c r="I116" s="11">
        <f>IF(B116="","",C116-F116)</f>
      </c>
      <c r="J116" s="11">
        <f>IF(OR(B116="",G116=0),"",ROUND(I116/H116,2))</f>
      </c>
      <c r="K116" s="9">
        <f>IF(B116="","",IF(COUNTIF($B$2:B116,B116)=1,MAX($K$1:K115)+1,""))</f>
      </c>
    </row>
    <row r="117">
      <c r="G117" s="9">
        <f>IF(B117="","",D117+E117)</f>
      </c>
      <c r="H117" s="10">
        <f>IF(B117="","",ROUND(G117/60,2))</f>
      </c>
      <c r="I117" s="11">
        <f>IF(B117="","",C117-F117)</f>
      </c>
      <c r="J117" s="11">
        <f>IF(OR(B117="",G117=0),"",ROUND(I117/H117,2))</f>
      </c>
      <c r="K117" s="9">
        <f>IF(B117="","",IF(COUNTIF($B$2:B117,B117)=1,MAX($K$1:K116)+1,""))</f>
      </c>
    </row>
    <row r="118">
      <c r="G118" s="9">
        <f>IF(B118="","",D118+E118)</f>
      </c>
      <c r="H118" s="10">
        <f>IF(B118="","",ROUND(G118/60,2))</f>
      </c>
      <c r="I118" s="11">
        <f>IF(B118="","",C118-F118)</f>
      </c>
      <c r="J118" s="11">
        <f>IF(OR(B118="",G118=0),"",ROUND(I118/H118,2))</f>
      </c>
      <c r="K118" s="9">
        <f>IF(B118="","",IF(COUNTIF($B$2:B118,B118)=1,MAX($K$1:K117)+1,""))</f>
      </c>
    </row>
    <row r="119">
      <c r="G119" s="9">
        <f>IF(B119="","",D119+E119)</f>
      </c>
      <c r="H119" s="10">
        <f>IF(B119="","",ROUND(G119/60,2))</f>
      </c>
      <c r="I119" s="11">
        <f>IF(B119="","",C119-F119)</f>
      </c>
      <c r="J119" s="11">
        <f>IF(OR(B119="",G119=0),"",ROUND(I119/H119,2))</f>
      </c>
      <c r="K119" s="9">
        <f>IF(B119="","",IF(COUNTIF($B$2:B119,B119)=1,MAX($K$1:K118)+1,""))</f>
      </c>
    </row>
    <row r="120">
      <c r="G120" s="9">
        <f>IF(B120="","",D120+E120)</f>
      </c>
      <c r="H120" s="10">
        <f>IF(B120="","",ROUND(G120/60,2))</f>
      </c>
      <c r="I120" s="11">
        <f>IF(B120="","",C120-F120)</f>
      </c>
      <c r="J120" s="11">
        <f>IF(OR(B120="",G120=0),"",ROUND(I120/H120,2))</f>
      </c>
      <c r="K120" s="9">
        <f>IF(B120="","",IF(COUNTIF($B$2:B120,B120)=1,MAX($K$1:K119)+1,""))</f>
      </c>
    </row>
    <row r="121">
      <c r="G121" s="9">
        <f>IF(B121="","",D121+E121)</f>
      </c>
      <c r="H121" s="10">
        <f>IF(B121="","",ROUND(G121/60,2))</f>
      </c>
      <c r="I121" s="11">
        <f>IF(B121="","",C121-F121)</f>
      </c>
      <c r="J121" s="11">
        <f>IF(OR(B121="",G121=0),"",ROUND(I121/H121,2))</f>
      </c>
      <c r="K121" s="9">
        <f>IF(B121="","",IF(COUNTIF($B$2:B121,B121)=1,MAX($K$1:K120)+1,""))</f>
      </c>
    </row>
    <row r="122">
      <c r="G122" s="9">
        <f>IF(B122="","",D122+E122)</f>
      </c>
      <c r="H122" s="10">
        <f>IF(B122="","",ROUND(G122/60,2))</f>
      </c>
      <c r="I122" s="11">
        <f>IF(B122="","",C122-F122)</f>
      </c>
      <c r="J122" s="11">
        <f>IF(OR(B122="",G122=0),"",ROUND(I122/H122,2))</f>
      </c>
      <c r="K122" s="9">
        <f>IF(B122="","",IF(COUNTIF($B$2:B122,B122)=1,MAX($K$1:K121)+1,""))</f>
      </c>
    </row>
    <row r="123">
      <c r="G123" s="9">
        <f>IF(B123="","",D123+E123)</f>
      </c>
      <c r="H123" s="10">
        <f>IF(B123="","",ROUND(G123/60,2))</f>
      </c>
      <c r="I123" s="11">
        <f>IF(B123="","",C123-F123)</f>
      </c>
      <c r="J123" s="11">
        <f>IF(OR(B123="",G123=0),"",ROUND(I123/H123,2))</f>
      </c>
      <c r="K123" s="9">
        <f>IF(B123="","",IF(COUNTIF($B$2:B123,B123)=1,MAX($K$1:K122)+1,""))</f>
      </c>
    </row>
    <row r="124">
      <c r="G124" s="9">
        <f>IF(B124="","",D124+E124)</f>
      </c>
      <c r="H124" s="10">
        <f>IF(B124="","",ROUND(G124/60,2))</f>
      </c>
      <c r="I124" s="11">
        <f>IF(B124="","",C124-F124)</f>
      </c>
      <c r="J124" s="11">
        <f>IF(OR(B124="",G124=0),"",ROUND(I124/H124,2))</f>
      </c>
      <c r="K124" s="9">
        <f>IF(B124="","",IF(COUNTIF($B$2:B124,B124)=1,MAX($K$1:K123)+1,""))</f>
      </c>
    </row>
    <row r="125">
      <c r="G125" s="9">
        <f>IF(B125="","",D125+E125)</f>
      </c>
      <c r="H125" s="10">
        <f>IF(B125="","",ROUND(G125/60,2))</f>
      </c>
      <c r="I125" s="11">
        <f>IF(B125="","",C125-F125)</f>
      </c>
      <c r="J125" s="11">
        <f>IF(OR(B125="",G125=0),"",ROUND(I125/H125,2))</f>
      </c>
      <c r="K125" s="9">
        <f>IF(B125="","",IF(COUNTIF($B$2:B125,B125)=1,MAX($K$1:K124)+1,""))</f>
      </c>
    </row>
    <row r="126">
      <c r="G126" s="9">
        <f>IF(B126="","",D126+E126)</f>
      </c>
      <c r="H126" s="10">
        <f>IF(B126="","",ROUND(G126/60,2))</f>
      </c>
      <c r="I126" s="11">
        <f>IF(B126="","",C126-F126)</f>
      </c>
      <c r="J126" s="11">
        <f>IF(OR(B126="",G126=0),"",ROUND(I126/H126,2))</f>
      </c>
      <c r="K126" s="9">
        <f>IF(B126="","",IF(COUNTIF($B$2:B126,B126)=1,MAX($K$1:K125)+1,""))</f>
      </c>
    </row>
    <row r="127">
      <c r="G127" s="9">
        <f>IF(B127="","",D127+E127)</f>
      </c>
      <c r="H127" s="10">
        <f>IF(B127="","",ROUND(G127/60,2))</f>
      </c>
      <c r="I127" s="11">
        <f>IF(B127="","",C127-F127)</f>
      </c>
      <c r="J127" s="11">
        <f>IF(OR(B127="",G127=0),"",ROUND(I127/H127,2))</f>
      </c>
      <c r="K127" s="9">
        <f>IF(B127="","",IF(COUNTIF($B$2:B127,B127)=1,MAX($K$1:K126)+1,""))</f>
      </c>
    </row>
    <row r="128">
      <c r="G128" s="9">
        <f>IF(B128="","",D128+E128)</f>
      </c>
      <c r="H128" s="10">
        <f>IF(B128="","",ROUND(G128/60,2))</f>
      </c>
      <c r="I128" s="11">
        <f>IF(B128="","",C128-F128)</f>
      </c>
      <c r="J128" s="11">
        <f>IF(OR(B128="",G128=0),"",ROUND(I128/H128,2))</f>
      </c>
      <c r="K128" s="9">
        <f>IF(B128="","",IF(COUNTIF($B$2:B128,B128)=1,MAX($K$1:K127)+1,""))</f>
      </c>
    </row>
    <row r="129">
      <c r="G129" s="9">
        <f>IF(B129="","",D129+E129)</f>
      </c>
      <c r="H129" s="10">
        <f>IF(B129="","",ROUND(G129/60,2))</f>
      </c>
      <c r="I129" s="11">
        <f>IF(B129="","",C129-F129)</f>
      </c>
      <c r="J129" s="11">
        <f>IF(OR(B129="",G129=0),"",ROUND(I129/H129,2))</f>
      </c>
      <c r="K129" s="9">
        <f>IF(B129="","",IF(COUNTIF($B$2:B129,B129)=1,MAX($K$1:K128)+1,""))</f>
      </c>
    </row>
    <row r="130">
      <c r="G130" s="9">
        <f>IF(B130="","",D130+E130)</f>
      </c>
      <c r="H130" s="10">
        <f>IF(B130="","",ROUND(G130/60,2))</f>
      </c>
      <c r="I130" s="11">
        <f>IF(B130="","",C130-F130)</f>
      </c>
      <c r="J130" s="11">
        <f>IF(OR(B130="",G130=0),"",ROUND(I130/H130,2))</f>
      </c>
      <c r="K130" s="9">
        <f>IF(B130="","",IF(COUNTIF($B$2:B130,B130)=1,MAX($K$1:K129)+1,""))</f>
      </c>
    </row>
    <row r="131">
      <c r="G131" s="9">
        <f>IF(B131="","",D131+E131)</f>
      </c>
      <c r="H131" s="10">
        <f>IF(B131="","",ROUND(G131/60,2))</f>
      </c>
      <c r="I131" s="11">
        <f>IF(B131="","",C131-F131)</f>
      </c>
      <c r="J131" s="11">
        <f>IF(OR(B131="",G131=0),"",ROUND(I131/H131,2))</f>
      </c>
      <c r="K131" s="9">
        <f>IF(B131="","",IF(COUNTIF($B$2:B131,B131)=1,MAX($K$1:K130)+1,""))</f>
      </c>
    </row>
    <row r="132">
      <c r="G132" s="9">
        <f>IF(B132="","",D132+E132)</f>
      </c>
      <c r="H132" s="10">
        <f>IF(B132="","",ROUND(G132/60,2))</f>
      </c>
      <c r="I132" s="11">
        <f>IF(B132="","",C132-F132)</f>
      </c>
      <c r="J132" s="11">
        <f>IF(OR(B132="",G132=0),"",ROUND(I132/H132,2))</f>
      </c>
      <c r="K132" s="9">
        <f>IF(B132="","",IF(COUNTIF($B$2:B132,B132)=1,MAX($K$1:K131)+1,""))</f>
      </c>
    </row>
    <row r="133">
      <c r="G133" s="9">
        <f>IF(B133="","",D133+E133)</f>
      </c>
      <c r="H133" s="10">
        <f>IF(B133="","",ROUND(G133/60,2))</f>
      </c>
      <c r="I133" s="11">
        <f>IF(B133="","",C133-F133)</f>
      </c>
      <c r="J133" s="11">
        <f>IF(OR(B133="",G133=0),"",ROUND(I133/H133,2))</f>
      </c>
      <c r="K133" s="9">
        <f>IF(B133="","",IF(COUNTIF($B$2:B133,B133)=1,MAX($K$1:K132)+1,""))</f>
      </c>
    </row>
    <row r="134">
      <c r="G134" s="9">
        <f>IF(B134="","",D134+E134)</f>
      </c>
      <c r="H134" s="10">
        <f>IF(B134="","",ROUND(G134/60,2))</f>
      </c>
      <c r="I134" s="11">
        <f>IF(B134="","",C134-F134)</f>
      </c>
      <c r="J134" s="11">
        <f>IF(OR(B134="",G134=0),"",ROUND(I134/H134,2))</f>
      </c>
      <c r="K134" s="9">
        <f>IF(B134="","",IF(COUNTIF($B$2:B134,B134)=1,MAX($K$1:K133)+1,""))</f>
      </c>
    </row>
    <row r="135">
      <c r="G135" s="9">
        <f>IF(B135="","",D135+E135)</f>
      </c>
      <c r="H135" s="10">
        <f>IF(B135="","",ROUND(G135/60,2))</f>
      </c>
      <c r="I135" s="11">
        <f>IF(B135="","",C135-F135)</f>
      </c>
      <c r="J135" s="11">
        <f>IF(OR(B135="",G135=0),"",ROUND(I135/H135,2))</f>
      </c>
      <c r="K135" s="9">
        <f>IF(B135="","",IF(COUNTIF($B$2:B135,B135)=1,MAX($K$1:K134)+1,""))</f>
      </c>
    </row>
    <row r="136">
      <c r="G136" s="9">
        <f>IF(B136="","",D136+E136)</f>
      </c>
      <c r="H136" s="10">
        <f>IF(B136="","",ROUND(G136/60,2))</f>
      </c>
      <c r="I136" s="11">
        <f>IF(B136="","",C136-F136)</f>
      </c>
      <c r="J136" s="11">
        <f>IF(OR(B136="",G136=0),"",ROUND(I136/H136,2))</f>
      </c>
      <c r="K136" s="9">
        <f>IF(B136="","",IF(COUNTIF($B$2:B136,B136)=1,MAX($K$1:K135)+1,""))</f>
      </c>
    </row>
    <row r="137">
      <c r="G137" s="9">
        <f>IF(B137="","",D137+E137)</f>
      </c>
      <c r="H137" s="10">
        <f>IF(B137="","",ROUND(G137/60,2))</f>
      </c>
      <c r="I137" s="11">
        <f>IF(B137="","",C137-F137)</f>
      </c>
      <c r="J137" s="11">
        <f>IF(OR(B137="",G137=0),"",ROUND(I137/H137,2))</f>
      </c>
      <c r="K137" s="9">
        <f>IF(B137="","",IF(COUNTIF($B$2:B137,B137)=1,MAX($K$1:K136)+1,""))</f>
      </c>
    </row>
    <row r="138">
      <c r="G138" s="9">
        <f>IF(B138="","",D138+E138)</f>
      </c>
      <c r="H138" s="10">
        <f>IF(B138="","",ROUND(G138/60,2))</f>
      </c>
      <c r="I138" s="11">
        <f>IF(B138="","",C138-F138)</f>
      </c>
      <c r="J138" s="11">
        <f>IF(OR(B138="",G138=0),"",ROUND(I138/H138,2))</f>
      </c>
      <c r="K138" s="9">
        <f>IF(B138="","",IF(COUNTIF($B$2:B138,B138)=1,MAX($K$1:K137)+1,""))</f>
      </c>
    </row>
    <row r="139">
      <c r="G139" s="9">
        <f>IF(B139="","",D139+E139)</f>
      </c>
      <c r="H139" s="10">
        <f>IF(B139="","",ROUND(G139/60,2))</f>
      </c>
      <c r="I139" s="11">
        <f>IF(B139="","",C139-F139)</f>
      </c>
      <c r="J139" s="11">
        <f>IF(OR(B139="",G139=0),"",ROUND(I139/H139,2))</f>
      </c>
      <c r="K139" s="9">
        <f>IF(B139="","",IF(COUNTIF($B$2:B139,B139)=1,MAX($K$1:K138)+1,""))</f>
      </c>
    </row>
    <row r="140">
      <c r="G140" s="9">
        <f>IF(B140="","",D140+E140)</f>
      </c>
      <c r="H140" s="10">
        <f>IF(B140="","",ROUND(G140/60,2))</f>
      </c>
      <c r="I140" s="11">
        <f>IF(B140="","",C140-F140)</f>
      </c>
      <c r="J140" s="11">
        <f>IF(OR(B140="",G140=0),"",ROUND(I140/H140,2))</f>
      </c>
      <c r="K140" s="9">
        <f>IF(B140="","",IF(COUNTIF($B$2:B140,B140)=1,MAX($K$1:K139)+1,""))</f>
      </c>
    </row>
    <row r="141">
      <c r="G141" s="9">
        <f>IF(B141="","",D141+E141)</f>
      </c>
      <c r="H141" s="10">
        <f>IF(B141="","",ROUND(G141/60,2))</f>
      </c>
      <c r="I141" s="11">
        <f>IF(B141="","",C141-F141)</f>
      </c>
      <c r="J141" s="11">
        <f>IF(OR(B141="",G141=0),"",ROUND(I141/H141,2))</f>
      </c>
      <c r="K141" s="9">
        <f>IF(B141="","",IF(COUNTIF($B$2:B141,B141)=1,MAX($K$1:K140)+1,""))</f>
      </c>
    </row>
    <row r="142">
      <c r="G142" s="9">
        <f>IF(B142="","",D142+E142)</f>
      </c>
      <c r="H142" s="10">
        <f>IF(B142="","",ROUND(G142/60,2))</f>
      </c>
      <c r="I142" s="11">
        <f>IF(B142="","",C142-F142)</f>
      </c>
      <c r="J142" s="11">
        <f>IF(OR(B142="",G142=0),"",ROUND(I142/H142,2))</f>
      </c>
      <c r="K142" s="9">
        <f>IF(B142="","",IF(COUNTIF($B$2:B142,B142)=1,MAX($K$1:K141)+1,""))</f>
      </c>
    </row>
    <row r="143">
      <c r="G143" s="9">
        <f>IF(B143="","",D143+E143)</f>
      </c>
      <c r="H143" s="10">
        <f>IF(B143="","",ROUND(G143/60,2))</f>
      </c>
      <c r="I143" s="11">
        <f>IF(B143="","",C143-F143)</f>
      </c>
      <c r="J143" s="11">
        <f>IF(OR(B143="",G143=0),"",ROUND(I143/H143,2))</f>
      </c>
      <c r="K143" s="9">
        <f>IF(B143="","",IF(COUNTIF($B$2:B143,B143)=1,MAX($K$1:K142)+1,""))</f>
      </c>
    </row>
    <row r="144">
      <c r="G144" s="9">
        <f>IF(B144="","",D144+E144)</f>
      </c>
      <c r="H144" s="10">
        <f>IF(B144="","",ROUND(G144/60,2))</f>
      </c>
      <c r="I144" s="11">
        <f>IF(B144="","",C144-F144)</f>
      </c>
      <c r="J144" s="11">
        <f>IF(OR(B144="",G144=0),"",ROUND(I144/H144,2))</f>
      </c>
      <c r="K144" s="9">
        <f>IF(B144="","",IF(COUNTIF($B$2:B144,B144)=1,MAX($K$1:K143)+1,""))</f>
      </c>
    </row>
    <row r="145">
      <c r="G145" s="9">
        <f>IF(B145="","",D145+E145)</f>
      </c>
      <c r="H145" s="10">
        <f>IF(B145="","",ROUND(G145/60,2))</f>
      </c>
      <c r="I145" s="11">
        <f>IF(B145="","",C145-F145)</f>
      </c>
      <c r="J145" s="11">
        <f>IF(OR(B145="",G145=0),"",ROUND(I145/H145,2))</f>
      </c>
      <c r="K145" s="9">
        <f>IF(B145="","",IF(COUNTIF($B$2:B145,B145)=1,MAX($K$1:K144)+1,""))</f>
      </c>
    </row>
    <row r="146">
      <c r="G146" s="9">
        <f>IF(B146="","",D146+E146)</f>
      </c>
      <c r="H146" s="10">
        <f>IF(B146="","",ROUND(G146/60,2))</f>
      </c>
      <c r="I146" s="11">
        <f>IF(B146="","",C146-F146)</f>
      </c>
      <c r="J146" s="11">
        <f>IF(OR(B146="",G146=0),"",ROUND(I146/H146,2))</f>
      </c>
      <c r="K146" s="9">
        <f>IF(B146="","",IF(COUNTIF($B$2:B146,B146)=1,MAX($K$1:K145)+1,""))</f>
      </c>
    </row>
    <row r="147">
      <c r="G147" s="9">
        <f>IF(B147="","",D147+E147)</f>
      </c>
      <c r="H147" s="10">
        <f>IF(B147="","",ROUND(G147/60,2))</f>
      </c>
      <c r="I147" s="11">
        <f>IF(B147="","",C147-F147)</f>
      </c>
      <c r="J147" s="11">
        <f>IF(OR(B147="",G147=0),"",ROUND(I147/H147,2))</f>
      </c>
      <c r="K147" s="9">
        <f>IF(B147="","",IF(COUNTIF($B$2:B147,B147)=1,MAX($K$1:K146)+1,""))</f>
      </c>
    </row>
    <row r="148">
      <c r="G148" s="9">
        <f>IF(B148="","",D148+E148)</f>
      </c>
      <c r="H148" s="10">
        <f>IF(B148="","",ROUND(G148/60,2))</f>
      </c>
      <c r="I148" s="11">
        <f>IF(B148="","",C148-F148)</f>
      </c>
      <c r="J148" s="11">
        <f>IF(OR(B148="",G148=0),"",ROUND(I148/H148,2))</f>
      </c>
      <c r="K148" s="9">
        <f>IF(B148="","",IF(COUNTIF($B$2:B148,B148)=1,MAX($K$1:K147)+1,""))</f>
      </c>
    </row>
    <row r="149">
      <c r="G149" s="9">
        <f>IF(B149="","",D149+E149)</f>
      </c>
      <c r="H149" s="10">
        <f>IF(B149="","",ROUND(G149/60,2))</f>
      </c>
      <c r="I149" s="11">
        <f>IF(B149="","",C149-F149)</f>
      </c>
      <c r="J149" s="11">
        <f>IF(OR(B149="",G149=0),"",ROUND(I149/H149,2))</f>
      </c>
      <c r="K149" s="9">
        <f>IF(B149="","",IF(COUNTIF($B$2:B149,B149)=1,MAX($K$1:K148)+1,""))</f>
      </c>
    </row>
    <row r="150">
      <c r="G150" s="9">
        <f>IF(B150="","",D150+E150)</f>
      </c>
      <c r="H150" s="10">
        <f>IF(B150="","",ROUND(G150/60,2))</f>
      </c>
      <c r="I150" s="11">
        <f>IF(B150="","",C150-F150)</f>
      </c>
      <c r="J150" s="11">
        <f>IF(OR(B150="",G150=0),"",ROUND(I150/H150,2))</f>
      </c>
      <c r="K150" s="9">
        <f>IF(B150="","",IF(COUNTIF($B$2:B150,B150)=1,MAX($K$1:K149)+1,""))</f>
      </c>
    </row>
    <row r="151">
      <c r="G151" s="9">
        <f>IF(B151="","",D151+E151)</f>
      </c>
      <c r="H151" s="10">
        <f>IF(B151="","",ROUND(G151/60,2))</f>
      </c>
      <c r="I151" s="11">
        <f>IF(B151="","",C151-F151)</f>
      </c>
      <c r="J151" s="11">
        <f>IF(OR(B151="",G151=0),"",ROUND(I151/H151,2))</f>
      </c>
      <c r="K151" s="9">
        <f>IF(B151="","",IF(COUNTIF($B$2:B151,B151)=1,MAX($K$1:K150)+1,""))</f>
      </c>
    </row>
    <row r="152">
      <c r="G152" s="9">
        <f>IF(B152="","",D152+E152)</f>
      </c>
      <c r="H152" s="10">
        <f>IF(B152="","",ROUND(G152/60,2))</f>
      </c>
      <c r="I152" s="11">
        <f>IF(B152="","",C152-F152)</f>
      </c>
      <c r="J152" s="11">
        <f>IF(OR(B152="",G152=0),"",ROUND(I152/H152,2))</f>
      </c>
      <c r="K152" s="9">
        <f>IF(B152="","",IF(COUNTIF($B$2:B152,B152)=1,MAX($K$1:K151)+1,""))</f>
      </c>
    </row>
    <row r="153">
      <c r="G153" s="9">
        <f>IF(B153="","",D153+E153)</f>
      </c>
      <c r="H153" s="10">
        <f>IF(B153="","",ROUND(G153/60,2))</f>
      </c>
      <c r="I153" s="11">
        <f>IF(B153="","",C153-F153)</f>
      </c>
      <c r="J153" s="11">
        <f>IF(OR(B153="",G153=0),"",ROUND(I153/H153,2))</f>
      </c>
      <c r="K153" s="9">
        <f>IF(B153="","",IF(COUNTIF($B$2:B153,B153)=1,MAX($K$1:K152)+1,""))</f>
      </c>
    </row>
    <row r="154">
      <c r="G154" s="9">
        <f>IF(B154="","",D154+E154)</f>
      </c>
      <c r="H154" s="10">
        <f>IF(B154="","",ROUND(G154/60,2))</f>
      </c>
      <c r="I154" s="11">
        <f>IF(B154="","",C154-F154)</f>
      </c>
      <c r="J154" s="11">
        <f>IF(OR(B154="",G154=0),"",ROUND(I154/H154,2))</f>
      </c>
      <c r="K154" s="9">
        <f>IF(B154="","",IF(COUNTIF($B$2:B154,B154)=1,MAX($K$1:K153)+1,""))</f>
      </c>
    </row>
    <row r="155">
      <c r="G155" s="9">
        <f>IF(B155="","",D155+E155)</f>
      </c>
      <c r="H155" s="10">
        <f>IF(B155="","",ROUND(G155/60,2))</f>
      </c>
      <c r="I155" s="11">
        <f>IF(B155="","",C155-F155)</f>
      </c>
      <c r="J155" s="11">
        <f>IF(OR(B155="",G155=0),"",ROUND(I155/H155,2))</f>
      </c>
      <c r="K155" s="9">
        <f>IF(B155="","",IF(COUNTIF($B$2:B155,B155)=1,MAX($K$1:K154)+1,""))</f>
      </c>
    </row>
    <row r="156">
      <c r="G156" s="9">
        <f>IF(B156="","",D156+E156)</f>
      </c>
      <c r="H156" s="10">
        <f>IF(B156="","",ROUND(G156/60,2))</f>
      </c>
      <c r="I156" s="11">
        <f>IF(B156="","",C156-F156)</f>
      </c>
      <c r="J156" s="11">
        <f>IF(OR(B156="",G156=0),"",ROUND(I156/H156,2))</f>
      </c>
      <c r="K156" s="9">
        <f>IF(B156="","",IF(COUNTIF($B$2:B156,B156)=1,MAX($K$1:K155)+1,""))</f>
      </c>
    </row>
    <row r="157">
      <c r="G157" s="9">
        <f>IF(B157="","",D157+E157)</f>
      </c>
      <c r="H157" s="10">
        <f>IF(B157="","",ROUND(G157/60,2))</f>
      </c>
      <c r="I157" s="11">
        <f>IF(B157="","",C157-F157)</f>
      </c>
      <c r="J157" s="11">
        <f>IF(OR(B157="",G157=0),"",ROUND(I157/H157,2))</f>
      </c>
      <c r="K157" s="9">
        <f>IF(B157="","",IF(COUNTIF($B$2:B157,B157)=1,MAX($K$1:K156)+1,""))</f>
      </c>
    </row>
    <row r="158">
      <c r="G158" s="9">
        <f>IF(B158="","",D158+E158)</f>
      </c>
      <c r="H158" s="10">
        <f>IF(B158="","",ROUND(G158/60,2))</f>
      </c>
      <c r="I158" s="11">
        <f>IF(B158="","",C158-F158)</f>
      </c>
      <c r="J158" s="11">
        <f>IF(OR(B158="",G158=0),"",ROUND(I158/H158,2))</f>
      </c>
      <c r="K158" s="9">
        <f>IF(B158="","",IF(COUNTIF($B$2:B158,B158)=1,MAX($K$1:K157)+1,""))</f>
      </c>
    </row>
    <row r="159">
      <c r="G159" s="9">
        <f>IF(B159="","",D159+E159)</f>
      </c>
      <c r="H159" s="10">
        <f>IF(B159="","",ROUND(G159/60,2))</f>
      </c>
      <c r="I159" s="11">
        <f>IF(B159="","",C159-F159)</f>
      </c>
      <c r="J159" s="11">
        <f>IF(OR(B159="",G159=0),"",ROUND(I159/H159,2))</f>
      </c>
      <c r="K159" s="9">
        <f>IF(B159="","",IF(COUNTIF($B$2:B159,B159)=1,MAX($K$1:K158)+1,""))</f>
      </c>
    </row>
    <row r="160">
      <c r="G160" s="9">
        <f>IF(B160="","",D160+E160)</f>
      </c>
      <c r="H160" s="10">
        <f>IF(B160="","",ROUND(G160/60,2))</f>
      </c>
      <c r="I160" s="11">
        <f>IF(B160="","",C160-F160)</f>
      </c>
      <c r="J160" s="11">
        <f>IF(OR(B160="",G160=0),"",ROUND(I160/H160,2))</f>
      </c>
      <c r="K160" s="9">
        <f>IF(B160="","",IF(COUNTIF($B$2:B160,B160)=1,MAX($K$1:K159)+1,""))</f>
      </c>
    </row>
    <row r="161">
      <c r="G161" s="9">
        <f>IF(B161="","",D161+E161)</f>
      </c>
      <c r="H161" s="10">
        <f>IF(B161="","",ROUND(G161/60,2))</f>
      </c>
      <c r="I161" s="11">
        <f>IF(B161="","",C161-F161)</f>
      </c>
      <c r="J161" s="11">
        <f>IF(OR(B161="",G161=0),"",ROUND(I161/H161,2))</f>
      </c>
      <c r="K161" s="9">
        <f>IF(B161="","",IF(COUNTIF($B$2:B161,B161)=1,MAX($K$1:K160)+1,""))</f>
      </c>
    </row>
    <row r="162">
      <c r="G162" s="9">
        <f>IF(B162="","",D162+E162)</f>
      </c>
      <c r="H162" s="10">
        <f>IF(B162="","",ROUND(G162/60,2))</f>
      </c>
      <c r="I162" s="11">
        <f>IF(B162="","",C162-F162)</f>
      </c>
      <c r="J162" s="11">
        <f>IF(OR(B162="",G162=0),"",ROUND(I162/H162,2))</f>
      </c>
      <c r="K162" s="9">
        <f>IF(B162="","",IF(COUNTIF($B$2:B162,B162)=1,MAX($K$1:K161)+1,""))</f>
      </c>
    </row>
    <row r="163">
      <c r="G163" s="9">
        <f>IF(B163="","",D163+E163)</f>
      </c>
      <c r="H163" s="10">
        <f>IF(B163="","",ROUND(G163/60,2))</f>
      </c>
      <c r="I163" s="11">
        <f>IF(B163="","",C163-F163)</f>
      </c>
      <c r="J163" s="11">
        <f>IF(OR(B163="",G163=0),"",ROUND(I163/H163,2))</f>
      </c>
      <c r="K163" s="9">
        <f>IF(B163="","",IF(COUNTIF($B$2:B163,B163)=1,MAX($K$1:K162)+1,""))</f>
      </c>
    </row>
    <row r="164">
      <c r="G164" s="9">
        <f>IF(B164="","",D164+E164)</f>
      </c>
      <c r="H164" s="10">
        <f>IF(B164="","",ROUND(G164/60,2))</f>
      </c>
      <c r="I164" s="11">
        <f>IF(B164="","",C164-F164)</f>
      </c>
      <c r="J164" s="11">
        <f>IF(OR(B164="",G164=0),"",ROUND(I164/H164,2))</f>
      </c>
      <c r="K164" s="9">
        <f>IF(B164="","",IF(COUNTIF($B$2:B164,B164)=1,MAX($K$1:K163)+1,""))</f>
      </c>
    </row>
    <row r="165">
      <c r="G165" s="9">
        <f>IF(B165="","",D165+E165)</f>
      </c>
      <c r="H165" s="10">
        <f>IF(B165="","",ROUND(G165/60,2))</f>
      </c>
      <c r="I165" s="11">
        <f>IF(B165="","",C165-F165)</f>
      </c>
      <c r="J165" s="11">
        <f>IF(OR(B165="",G165=0),"",ROUND(I165/H165,2))</f>
      </c>
      <c r="K165" s="9">
        <f>IF(B165="","",IF(COUNTIF($B$2:B165,B165)=1,MAX($K$1:K164)+1,""))</f>
      </c>
    </row>
    <row r="166">
      <c r="G166" s="9">
        <f>IF(B166="","",D166+E166)</f>
      </c>
      <c r="H166" s="10">
        <f>IF(B166="","",ROUND(G166/60,2))</f>
      </c>
      <c r="I166" s="11">
        <f>IF(B166="","",C166-F166)</f>
      </c>
      <c r="J166" s="11">
        <f>IF(OR(B166="",G166=0),"",ROUND(I166/H166,2))</f>
      </c>
      <c r="K166" s="9">
        <f>IF(B166="","",IF(COUNTIF($B$2:B166,B166)=1,MAX($K$1:K165)+1,""))</f>
      </c>
    </row>
    <row r="167">
      <c r="G167" s="9">
        <f>IF(B167="","",D167+E167)</f>
      </c>
      <c r="H167" s="10">
        <f>IF(B167="","",ROUND(G167/60,2))</f>
      </c>
      <c r="I167" s="11">
        <f>IF(B167="","",C167-F167)</f>
      </c>
      <c r="J167" s="11">
        <f>IF(OR(B167="",G167=0),"",ROUND(I167/H167,2))</f>
      </c>
      <c r="K167" s="9">
        <f>IF(B167="","",IF(COUNTIF($B$2:B167,B167)=1,MAX($K$1:K166)+1,""))</f>
      </c>
    </row>
    <row r="168">
      <c r="G168" s="9">
        <f>IF(B168="","",D168+E168)</f>
      </c>
      <c r="H168" s="10">
        <f>IF(B168="","",ROUND(G168/60,2))</f>
      </c>
      <c r="I168" s="11">
        <f>IF(B168="","",C168-F168)</f>
      </c>
      <c r="J168" s="11">
        <f>IF(OR(B168="",G168=0),"",ROUND(I168/H168,2))</f>
      </c>
      <c r="K168" s="9">
        <f>IF(B168="","",IF(COUNTIF($B$2:B168,B168)=1,MAX($K$1:K167)+1,""))</f>
      </c>
    </row>
    <row r="169">
      <c r="G169" s="9">
        <f>IF(B169="","",D169+E169)</f>
      </c>
      <c r="H169" s="10">
        <f>IF(B169="","",ROUND(G169/60,2))</f>
      </c>
      <c r="I169" s="11">
        <f>IF(B169="","",C169-F169)</f>
      </c>
      <c r="J169" s="11">
        <f>IF(OR(B169="",G169=0),"",ROUND(I169/H169,2))</f>
      </c>
      <c r="K169" s="9">
        <f>IF(B169="","",IF(COUNTIF($B$2:B169,B169)=1,MAX($K$1:K168)+1,""))</f>
      </c>
    </row>
    <row r="170">
      <c r="G170" s="9">
        <f>IF(B170="","",D170+E170)</f>
      </c>
      <c r="H170" s="10">
        <f>IF(B170="","",ROUND(G170/60,2))</f>
      </c>
      <c r="I170" s="11">
        <f>IF(B170="","",C170-F170)</f>
      </c>
      <c r="J170" s="11">
        <f>IF(OR(B170="",G170=0),"",ROUND(I170/H170,2))</f>
      </c>
      <c r="K170" s="9">
        <f>IF(B170="","",IF(COUNTIF($B$2:B170,B170)=1,MAX($K$1:K169)+1,""))</f>
      </c>
    </row>
    <row r="171">
      <c r="G171" s="9">
        <f>IF(B171="","",D171+E171)</f>
      </c>
      <c r="H171" s="10">
        <f>IF(B171="","",ROUND(G171/60,2))</f>
      </c>
      <c r="I171" s="11">
        <f>IF(B171="","",C171-F171)</f>
      </c>
      <c r="J171" s="11">
        <f>IF(OR(B171="",G171=0),"",ROUND(I171/H171,2))</f>
      </c>
      <c r="K171" s="9">
        <f>IF(B171="","",IF(COUNTIF($B$2:B171,B171)=1,MAX($K$1:K170)+1,""))</f>
      </c>
    </row>
    <row r="172">
      <c r="G172" s="9">
        <f>IF(B172="","",D172+E172)</f>
      </c>
      <c r="H172" s="10">
        <f>IF(B172="","",ROUND(G172/60,2))</f>
      </c>
      <c r="I172" s="11">
        <f>IF(B172="","",C172-F172)</f>
      </c>
      <c r="J172" s="11">
        <f>IF(OR(B172="",G172=0),"",ROUND(I172/H172,2))</f>
      </c>
      <c r="K172" s="9">
        <f>IF(B172="","",IF(COUNTIF($B$2:B172,B172)=1,MAX($K$1:K171)+1,""))</f>
      </c>
    </row>
    <row r="173">
      <c r="G173" s="9">
        <f>IF(B173="","",D173+E173)</f>
      </c>
      <c r="H173" s="10">
        <f>IF(B173="","",ROUND(G173/60,2))</f>
      </c>
      <c r="I173" s="11">
        <f>IF(B173="","",C173-F173)</f>
      </c>
      <c r="J173" s="11">
        <f>IF(OR(B173="",G173=0),"",ROUND(I173/H173,2))</f>
      </c>
      <c r="K173" s="9">
        <f>IF(B173="","",IF(COUNTIF($B$2:B173,B173)=1,MAX($K$1:K172)+1,""))</f>
      </c>
    </row>
    <row r="174">
      <c r="G174" s="9">
        <f>IF(B174="","",D174+E174)</f>
      </c>
      <c r="H174" s="10">
        <f>IF(B174="","",ROUND(G174/60,2))</f>
      </c>
      <c r="I174" s="11">
        <f>IF(B174="","",C174-F174)</f>
      </c>
      <c r="J174" s="11">
        <f>IF(OR(B174="",G174=0),"",ROUND(I174/H174,2))</f>
      </c>
      <c r="K174" s="9">
        <f>IF(B174="","",IF(COUNTIF($B$2:B174,B174)=1,MAX($K$1:K173)+1,""))</f>
      </c>
    </row>
    <row r="175">
      <c r="G175" s="9">
        <f>IF(B175="","",D175+E175)</f>
      </c>
      <c r="H175" s="10">
        <f>IF(B175="","",ROUND(G175/60,2))</f>
      </c>
      <c r="I175" s="11">
        <f>IF(B175="","",C175-F175)</f>
      </c>
      <c r="J175" s="11">
        <f>IF(OR(B175="",G175=0),"",ROUND(I175/H175,2))</f>
      </c>
      <c r="K175" s="9">
        <f>IF(B175="","",IF(COUNTIF($B$2:B175,B175)=1,MAX($K$1:K174)+1,""))</f>
      </c>
    </row>
    <row r="176">
      <c r="G176" s="9">
        <f>IF(B176="","",D176+E176)</f>
      </c>
      <c r="H176" s="10">
        <f>IF(B176="","",ROUND(G176/60,2))</f>
      </c>
      <c r="I176" s="11">
        <f>IF(B176="","",C176-F176)</f>
      </c>
      <c r="J176" s="11">
        <f>IF(OR(B176="",G176=0),"",ROUND(I176/H176,2))</f>
      </c>
      <c r="K176" s="9">
        <f>IF(B176="","",IF(COUNTIF($B$2:B176,B176)=1,MAX($K$1:K175)+1,""))</f>
      </c>
    </row>
    <row r="177">
      <c r="G177" s="9">
        <f>IF(B177="","",D177+E177)</f>
      </c>
      <c r="H177" s="10">
        <f>IF(B177="","",ROUND(G177/60,2))</f>
      </c>
      <c r="I177" s="11">
        <f>IF(B177="","",C177-F177)</f>
      </c>
      <c r="J177" s="11">
        <f>IF(OR(B177="",G177=0),"",ROUND(I177/H177,2))</f>
      </c>
      <c r="K177" s="9">
        <f>IF(B177="","",IF(COUNTIF($B$2:B177,B177)=1,MAX($K$1:K176)+1,""))</f>
      </c>
    </row>
    <row r="178">
      <c r="G178" s="9">
        <f>IF(B178="","",D178+E178)</f>
      </c>
      <c r="H178" s="10">
        <f>IF(B178="","",ROUND(G178/60,2))</f>
      </c>
      <c r="I178" s="11">
        <f>IF(B178="","",C178-F178)</f>
      </c>
      <c r="J178" s="11">
        <f>IF(OR(B178="",G178=0),"",ROUND(I178/H178,2))</f>
      </c>
      <c r="K178" s="9">
        <f>IF(B178="","",IF(COUNTIF($B$2:B178,B178)=1,MAX($K$1:K177)+1,""))</f>
      </c>
    </row>
    <row r="179">
      <c r="G179" s="9">
        <f>IF(B179="","",D179+E179)</f>
      </c>
      <c r="H179" s="10">
        <f>IF(B179="","",ROUND(G179/60,2))</f>
      </c>
      <c r="I179" s="11">
        <f>IF(B179="","",C179-F179)</f>
      </c>
      <c r="J179" s="11">
        <f>IF(OR(B179="",G179=0),"",ROUND(I179/H179,2))</f>
      </c>
      <c r="K179" s="9">
        <f>IF(B179="","",IF(COUNTIF($B$2:B179,B179)=1,MAX($K$1:K178)+1,""))</f>
      </c>
    </row>
    <row r="180">
      <c r="G180" s="9">
        <f>IF(B180="","",D180+E180)</f>
      </c>
      <c r="H180" s="10">
        <f>IF(B180="","",ROUND(G180/60,2))</f>
      </c>
      <c r="I180" s="11">
        <f>IF(B180="","",C180-F180)</f>
      </c>
      <c r="J180" s="11">
        <f>IF(OR(B180="",G180=0),"",ROUND(I180/H180,2))</f>
      </c>
      <c r="K180" s="9">
        <f>IF(B180="","",IF(COUNTIF($B$2:B180,B180)=1,MAX($K$1:K179)+1,""))</f>
      </c>
    </row>
    <row r="181">
      <c r="G181" s="9">
        <f>IF(B181="","",D181+E181)</f>
      </c>
      <c r="H181" s="10">
        <f>IF(B181="","",ROUND(G181/60,2))</f>
      </c>
      <c r="I181" s="11">
        <f>IF(B181="","",C181-F181)</f>
      </c>
      <c r="J181" s="11">
        <f>IF(OR(B181="",G181=0),"",ROUND(I181/H181,2))</f>
      </c>
      <c r="K181" s="9">
        <f>IF(B181="","",IF(COUNTIF($B$2:B181,B181)=1,MAX($K$1:K180)+1,""))</f>
      </c>
    </row>
    <row r="182">
      <c r="G182" s="9">
        <f>IF(B182="","",D182+E182)</f>
      </c>
      <c r="H182" s="10">
        <f>IF(B182="","",ROUND(G182/60,2))</f>
      </c>
      <c r="I182" s="11">
        <f>IF(B182="","",C182-F182)</f>
      </c>
      <c r="J182" s="11">
        <f>IF(OR(B182="",G182=0),"",ROUND(I182/H182,2))</f>
      </c>
      <c r="K182" s="9">
        <f>IF(B182="","",IF(COUNTIF($B$2:B182,B182)=1,MAX($K$1:K181)+1,""))</f>
      </c>
    </row>
    <row r="183">
      <c r="G183" s="9">
        <f>IF(B183="","",D183+E183)</f>
      </c>
      <c r="H183" s="10">
        <f>IF(B183="","",ROUND(G183/60,2))</f>
      </c>
      <c r="I183" s="11">
        <f>IF(B183="","",C183-F183)</f>
      </c>
      <c r="J183" s="11">
        <f>IF(OR(B183="",G183=0),"",ROUND(I183/H183,2))</f>
      </c>
      <c r="K183" s="9">
        <f>IF(B183="","",IF(COUNTIF($B$2:B183,B183)=1,MAX($K$1:K182)+1,""))</f>
      </c>
    </row>
    <row r="184">
      <c r="G184" s="9">
        <f>IF(B184="","",D184+E184)</f>
      </c>
      <c r="H184" s="10">
        <f>IF(B184="","",ROUND(G184/60,2))</f>
      </c>
      <c r="I184" s="11">
        <f>IF(B184="","",C184-F184)</f>
      </c>
      <c r="J184" s="11">
        <f>IF(OR(B184="",G184=0),"",ROUND(I184/H184,2))</f>
      </c>
      <c r="K184" s="9">
        <f>IF(B184="","",IF(COUNTIF($B$2:B184,B184)=1,MAX($K$1:K183)+1,""))</f>
      </c>
    </row>
    <row r="185">
      <c r="G185" s="9">
        <f>IF(B185="","",D185+E185)</f>
      </c>
      <c r="H185" s="10">
        <f>IF(B185="","",ROUND(G185/60,2))</f>
      </c>
      <c r="I185" s="11">
        <f>IF(B185="","",C185-F185)</f>
      </c>
      <c r="J185" s="11">
        <f>IF(OR(B185="",G185=0),"",ROUND(I185/H185,2))</f>
      </c>
      <c r="K185" s="9">
        <f>IF(B185="","",IF(COUNTIF($B$2:B185,B185)=1,MAX($K$1:K184)+1,""))</f>
      </c>
    </row>
    <row r="186">
      <c r="G186" s="9">
        <f>IF(B186="","",D186+E186)</f>
      </c>
      <c r="H186" s="10">
        <f>IF(B186="","",ROUND(G186/60,2))</f>
      </c>
      <c r="I186" s="11">
        <f>IF(B186="","",C186-F186)</f>
      </c>
      <c r="J186" s="11">
        <f>IF(OR(B186="",G186=0),"",ROUND(I186/H186,2))</f>
      </c>
      <c r="K186" s="9">
        <f>IF(B186="","",IF(COUNTIF($B$2:B186,B186)=1,MAX($K$1:K185)+1,""))</f>
      </c>
    </row>
    <row r="187">
      <c r="G187" s="9">
        <f>IF(B187="","",D187+E187)</f>
      </c>
      <c r="H187" s="10">
        <f>IF(B187="","",ROUND(G187/60,2))</f>
      </c>
      <c r="I187" s="11">
        <f>IF(B187="","",C187-F187)</f>
      </c>
      <c r="J187" s="11">
        <f>IF(OR(B187="",G187=0),"",ROUND(I187/H187,2))</f>
      </c>
      <c r="K187" s="9">
        <f>IF(B187="","",IF(COUNTIF($B$2:B187,B187)=1,MAX($K$1:K186)+1,""))</f>
      </c>
    </row>
    <row r="188">
      <c r="G188" s="9">
        <f>IF(B188="","",D188+E188)</f>
      </c>
      <c r="H188" s="10">
        <f>IF(B188="","",ROUND(G188/60,2))</f>
      </c>
      <c r="I188" s="11">
        <f>IF(B188="","",C188-F188)</f>
      </c>
      <c r="J188" s="11">
        <f>IF(OR(B188="",G188=0),"",ROUND(I188/H188,2))</f>
      </c>
      <c r="K188" s="9">
        <f>IF(B188="","",IF(COUNTIF($B$2:B188,B188)=1,MAX($K$1:K187)+1,""))</f>
      </c>
    </row>
    <row r="189">
      <c r="G189" s="9">
        <f>IF(B189="","",D189+E189)</f>
      </c>
      <c r="H189" s="10">
        <f>IF(B189="","",ROUND(G189/60,2))</f>
      </c>
      <c r="I189" s="11">
        <f>IF(B189="","",C189-F189)</f>
      </c>
      <c r="J189" s="11">
        <f>IF(OR(B189="",G189=0),"",ROUND(I189/H189,2))</f>
      </c>
      <c r="K189" s="9">
        <f>IF(B189="","",IF(COUNTIF($B$2:B189,B189)=1,MAX($K$1:K188)+1,""))</f>
      </c>
    </row>
    <row r="190">
      <c r="G190" s="9">
        <f>IF(B190="","",D190+E190)</f>
      </c>
      <c r="H190" s="10">
        <f>IF(B190="","",ROUND(G190/60,2))</f>
      </c>
      <c r="I190" s="11">
        <f>IF(B190="","",C190-F190)</f>
      </c>
      <c r="J190" s="11">
        <f>IF(OR(B190="",G190=0),"",ROUND(I190/H190,2))</f>
      </c>
      <c r="K190" s="9">
        <f>IF(B190="","",IF(COUNTIF($B$2:B190,B190)=1,MAX($K$1:K189)+1,""))</f>
      </c>
    </row>
    <row r="191">
      <c r="G191" s="9">
        <f>IF(B191="","",D191+E191)</f>
      </c>
      <c r="H191" s="10">
        <f>IF(B191="","",ROUND(G191/60,2))</f>
      </c>
      <c r="I191" s="11">
        <f>IF(B191="","",C191-F191)</f>
      </c>
      <c r="J191" s="11">
        <f>IF(OR(B191="",G191=0),"",ROUND(I191/H191,2))</f>
      </c>
      <c r="K191" s="9">
        <f>IF(B191="","",IF(COUNTIF($B$2:B191,B191)=1,MAX($K$1:K190)+1,""))</f>
      </c>
    </row>
    <row r="192">
      <c r="G192" s="9">
        <f>IF(B192="","",D192+E192)</f>
      </c>
      <c r="H192" s="10">
        <f>IF(B192="","",ROUND(G192/60,2))</f>
      </c>
      <c r="I192" s="11">
        <f>IF(B192="","",C192-F192)</f>
      </c>
      <c r="J192" s="11">
        <f>IF(OR(B192="",G192=0),"",ROUND(I192/H192,2))</f>
      </c>
      <c r="K192" s="9">
        <f>IF(B192="","",IF(COUNTIF($B$2:B192,B192)=1,MAX($K$1:K191)+1,""))</f>
      </c>
    </row>
    <row r="193">
      <c r="G193" s="9">
        <f>IF(B193="","",D193+E193)</f>
      </c>
      <c r="H193" s="10">
        <f>IF(B193="","",ROUND(G193/60,2))</f>
      </c>
      <c r="I193" s="11">
        <f>IF(B193="","",C193-F193)</f>
      </c>
      <c r="J193" s="11">
        <f>IF(OR(B193="",G193=0),"",ROUND(I193/H193,2))</f>
      </c>
      <c r="K193" s="9">
        <f>IF(B193="","",IF(COUNTIF($B$2:B193,B193)=1,MAX($K$1:K192)+1,""))</f>
      </c>
    </row>
    <row r="194">
      <c r="G194" s="9">
        <f>IF(B194="","",D194+E194)</f>
      </c>
      <c r="H194" s="10">
        <f>IF(B194="","",ROUND(G194/60,2))</f>
      </c>
      <c r="I194" s="11">
        <f>IF(B194="","",C194-F194)</f>
      </c>
      <c r="J194" s="11">
        <f>IF(OR(B194="",G194=0),"",ROUND(I194/H194,2))</f>
      </c>
      <c r="K194" s="9">
        <f>IF(B194="","",IF(COUNTIF($B$2:B194,B194)=1,MAX($K$1:K193)+1,""))</f>
      </c>
    </row>
    <row r="195">
      <c r="G195" s="9">
        <f>IF(B195="","",D195+E195)</f>
      </c>
      <c r="H195" s="10">
        <f>IF(B195="","",ROUND(G195/60,2))</f>
      </c>
      <c r="I195" s="11">
        <f>IF(B195="","",C195-F195)</f>
      </c>
      <c r="J195" s="11">
        <f>IF(OR(B195="",G195=0),"",ROUND(I195/H195,2))</f>
      </c>
      <c r="K195" s="9">
        <f>IF(B195="","",IF(COUNTIF($B$2:B195,B195)=1,MAX($K$1:K194)+1,""))</f>
      </c>
    </row>
    <row r="196">
      <c r="G196" s="9">
        <f>IF(B196="","",D196+E196)</f>
      </c>
      <c r="H196" s="10">
        <f>IF(B196="","",ROUND(G196/60,2))</f>
      </c>
      <c r="I196" s="11">
        <f>IF(B196="","",C196-F196)</f>
      </c>
      <c r="J196" s="11">
        <f>IF(OR(B196="",G196=0),"",ROUND(I196/H196,2))</f>
      </c>
      <c r="K196" s="9">
        <f>IF(B196="","",IF(COUNTIF($B$2:B196,B196)=1,MAX($K$1:K195)+1,""))</f>
      </c>
    </row>
    <row r="197">
      <c r="G197" s="9">
        <f>IF(B197="","",D197+E197)</f>
      </c>
      <c r="H197" s="10">
        <f>IF(B197="","",ROUND(G197/60,2))</f>
      </c>
      <c r="I197" s="11">
        <f>IF(B197="","",C197-F197)</f>
      </c>
      <c r="J197" s="11">
        <f>IF(OR(B197="",G197=0),"",ROUND(I197/H197,2))</f>
      </c>
      <c r="K197" s="9">
        <f>IF(B197="","",IF(COUNTIF($B$2:B197,B197)=1,MAX($K$1:K196)+1,""))</f>
      </c>
    </row>
    <row r="198">
      <c r="G198" s="9">
        <f>IF(B198="","",D198+E198)</f>
      </c>
      <c r="H198" s="10">
        <f>IF(B198="","",ROUND(G198/60,2))</f>
      </c>
      <c r="I198" s="11">
        <f>IF(B198="","",C198-F198)</f>
      </c>
      <c r="J198" s="11">
        <f>IF(OR(B198="",G198=0),"",ROUND(I198/H198,2))</f>
      </c>
      <c r="K198" s="9">
        <f>IF(B198="","",IF(COUNTIF($B$2:B198,B198)=1,MAX($K$1:K197)+1,""))</f>
      </c>
    </row>
    <row r="199">
      <c r="G199" s="9">
        <f>IF(B199="","",D199+E199)</f>
      </c>
      <c r="H199" s="10">
        <f>IF(B199="","",ROUND(G199/60,2))</f>
      </c>
      <c r="I199" s="11">
        <f>IF(B199="","",C199-F199)</f>
      </c>
      <c r="J199" s="11">
        <f>IF(OR(B199="",G199=0),"",ROUND(I199/H199,2))</f>
      </c>
      <c r="K199" s="9">
        <f>IF(B199="","",IF(COUNTIF($B$2:B199,B199)=1,MAX($K$1:K198)+1,""))</f>
      </c>
    </row>
    <row r="200">
      <c r="G200" s="9">
        <f>IF(B200="","",D200+E200)</f>
      </c>
      <c r="H200" s="10">
        <f>IF(B200="","",ROUND(G200/60,2))</f>
      </c>
      <c r="I200" s="11">
        <f>IF(B200="","",C200-F200)</f>
      </c>
      <c r="J200" s="11">
        <f>IF(OR(B200="",G200=0),"",ROUND(I200/H200,2))</f>
      </c>
      <c r="K200" s="9">
        <f>IF(B200="","",IF(COUNTIF($B$2:B200,B200)=1,MAX($K$1:K199)+1,""))</f>
      </c>
    </row>
    <row r="201">
      <c r="G201" s="9">
        <f>IF(B201="","",D201+E201)</f>
      </c>
      <c r="H201" s="10">
        <f>IF(B201="","",ROUND(G201/60,2))</f>
      </c>
      <c r="I201" s="11">
        <f>IF(B201="","",C201-F201)</f>
      </c>
      <c r="J201" s="11">
        <f>IF(OR(B201="",G201=0),"",ROUND(I201/H201,2))</f>
      </c>
      <c r="K201" s="9">
        <f>IF(B201="","",IF(COUNTIF($B$2:B201,B201)=1,MAX($K$1:K200)+1,""))</f>
      </c>
    </row>
    <row r="202">
      <c r="G202" s="9">
        <f>IF(B202="","",D202+E202)</f>
      </c>
      <c r="H202" s="10">
        <f>IF(B202="","",ROUND(G202/60,2))</f>
      </c>
      <c r="I202" s="11">
        <f>IF(B202="","",C202-F202)</f>
      </c>
      <c r="J202" s="11">
        <f>IF(OR(B202="",G202=0),"",ROUND(I202/H202,2))</f>
      </c>
      <c r="K202" s="9">
        <f>IF(B202="","",IF(COUNTIF($B$2:B202,B202)=1,MAX($K$1:K201)+1,""))</f>
      </c>
    </row>
    <row r="203">
      <c r="G203" s="9">
        <f>IF(B203="","",D203+E203)</f>
      </c>
      <c r="H203" s="10">
        <f>IF(B203="","",ROUND(G203/60,2))</f>
      </c>
      <c r="I203" s="11">
        <f>IF(B203="","",C203-F203)</f>
      </c>
      <c r="J203" s="11">
        <f>IF(OR(B203="",G203=0),"",ROUND(I203/H203,2))</f>
      </c>
      <c r="K203" s="9">
        <f>IF(B203="","",IF(COUNTIF($B$2:B203,B203)=1,MAX($K$1:K202)+1,""))</f>
      </c>
    </row>
    <row r="204">
      <c r="G204" s="9">
        <f>IF(B204="","",D204+E204)</f>
      </c>
      <c r="H204" s="10">
        <f>IF(B204="","",ROUND(G204/60,2))</f>
      </c>
      <c r="I204" s="11">
        <f>IF(B204="","",C204-F204)</f>
      </c>
      <c r="J204" s="11">
        <f>IF(OR(B204="",G204=0),"",ROUND(I204/H204,2))</f>
      </c>
      <c r="K204" s="9">
        <f>IF(B204="","",IF(COUNTIF($B$2:B204,B204)=1,MAX($K$1:K203)+1,""))</f>
      </c>
    </row>
    <row r="205">
      <c r="G205" s="9">
        <f>IF(B205="","",D205+E205)</f>
      </c>
      <c r="H205" s="10">
        <f>IF(B205="","",ROUND(G205/60,2))</f>
      </c>
      <c r="I205" s="11">
        <f>IF(B205="","",C205-F205)</f>
      </c>
      <c r="J205" s="11">
        <f>IF(OR(B205="",G205=0),"",ROUND(I205/H205,2))</f>
      </c>
      <c r="K205" s="9">
        <f>IF(B205="","",IF(COUNTIF($B$2:B205,B205)=1,MAX($K$1:K204)+1,""))</f>
      </c>
    </row>
    <row r="206">
      <c r="G206" s="9">
        <f>IF(B206="","",D206+E206)</f>
      </c>
      <c r="H206" s="10">
        <f>IF(B206="","",ROUND(G206/60,2))</f>
      </c>
      <c r="I206" s="11">
        <f>IF(B206="","",C206-F206)</f>
      </c>
      <c r="J206" s="11">
        <f>IF(OR(B206="",G206=0),"",ROUND(I206/H206,2))</f>
      </c>
      <c r="K206" s="9">
        <f>IF(B206="","",IF(COUNTIF($B$2:B206,B206)=1,MAX($K$1:K205)+1,""))</f>
      </c>
    </row>
    <row r="207">
      <c r="G207" s="9">
        <f>IF(B207="","",D207+E207)</f>
      </c>
      <c r="H207" s="10">
        <f>IF(B207="","",ROUND(G207/60,2))</f>
      </c>
      <c r="I207" s="11">
        <f>IF(B207="","",C207-F207)</f>
      </c>
      <c r="J207" s="11">
        <f>IF(OR(B207="",G207=0),"",ROUND(I207/H207,2))</f>
      </c>
      <c r="K207" s="9">
        <f>IF(B207="","",IF(COUNTIF($B$2:B207,B207)=1,MAX($K$1:K206)+1,""))</f>
      </c>
    </row>
    <row r="208">
      <c r="G208" s="9">
        <f>IF(B208="","",D208+E208)</f>
      </c>
      <c r="H208" s="10">
        <f>IF(B208="","",ROUND(G208/60,2))</f>
      </c>
      <c r="I208" s="11">
        <f>IF(B208="","",C208-F208)</f>
      </c>
      <c r="J208" s="11">
        <f>IF(OR(B208="",G208=0),"",ROUND(I208/H208,2))</f>
      </c>
      <c r="K208" s="9">
        <f>IF(B208="","",IF(COUNTIF($B$2:B208,B208)=1,MAX($K$1:K207)+1,""))</f>
      </c>
    </row>
    <row r="209">
      <c r="G209" s="9">
        <f>IF(B209="","",D209+E209)</f>
      </c>
      <c r="H209" s="10">
        <f>IF(B209="","",ROUND(G209/60,2))</f>
      </c>
      <c r="I209" s="11">
        <f>IF(B209="","",C209-F209)</f>
      </c>
      <c r="J209" s="11">
        <f>IF(OR(B209="",G209=0),"",ROUND(I209/H209,2))</f>
      </c>
      <c r="K209" s="9">
        <f>IF(B209="","",IF(COUNTIF($B$2:B209,B209)=1,MAX($K$1:K208)+1,""))</f>
      </c>
    </row>
    <row r="210">
      <c r="G210" s="9">
        <f>IF(B210="","",D210+E210)</f>
      </c>
      <c r="H210" s="10">
        <f>IF(B210="","",ROUND(G210/60,2))</f>
      </c>
      <c r="I210" s="11">
        <f>IF(B210="","",C210-F210)</f>
      </c>
      <c r="J210" s="11">
        <f>IF(OR(B210="",G210=0),"",ROUND(I210/H210,2))</f>
      </c>
      <c r="K210" s="9">
        <f>IF(B210="","",IF(COUNTIF($B$2:B210,B210)=1,MAX($K$1:K209)+1,""))</f>
      </c>
    </row>
    <row r="211">
      <c r="G211" s="9">
        <f>IF(B211="","",D211+E211)</f>
      </c>
      <c r="H211" s="10">
        <f>IF(B211="","",ROUND(G211/60,2))</f>
      </c>
      <c r="I211" s="11">
        <f>IF(B211="","",C211-F211)</f>
      </c>
      <c r="J211" s="11">
        <f>IF(OR(B211="",G211=0),"",ROUND(I211/H211,2))</f>
      </c>
      <c r="K211" s="9">
        <f>IF(B211="","",IF(COUNTIF($B$2:B211,B211)=1,MAX($K$1:K210)+1,""))</f>
      </c>
    </row>
    <row r="212">
      <c r="G212" s="9">
        <f>IF(B212="","",D212+E212)</f>
      </c>
      <c r="H212" s="10">
        <f>IF(B212="","",ROUND(G212/60,2))</f>
      </c>
      <c r="I212" s="11">
        <f>IF(B212="","",C212-F212)</f>
      </c>
      <c r="J212" s="11">
        <f>IF(OR(B212="",G212=0),"",ROUND(I212/H212,2))</f>
      </c>
      <c r="K212" s="9">
        <f>IF(B212="","",IF(COUNTIF($B$2:B212,B212)=1,MAX($K$1:K211)+1,""))</f>
      </c>
    </row>
    <row r="213">
      <c r="G213" s="9">
        <f>IF(B213="","",D213+E213)</f>
      </c>
      <c r="H213" s="10">
        <f>IF(B213="","",ROUND(G213/60,2))</f>
      </c>
      <c r="I213" s="11">
        <f>IF(B213="","",C213-F213)</f>
      </c>
      <c r="J213" s="11">
        <f>IF(OR(B213="",G213=0),"",ROUND(I213/H213,2))</f>
      </c>
      <c r="K213" s="9">
        <f>IF(B213="","",IF(COUNTIF($B$2:B213,B213)=1,MAX($K$1:K212)+1,""))</f>
      </c>
    </row>
    <row r="214">
      <c r="G214" s="9">
        <f>IF(B214="","",D214+E214)</f>
      </c>
      <c r="H214" s="10">
        <f>IF(B214="","",ROUND(G214/60,2))</f>
      </c>
      <c r="I214" s="11">
        <f>IF(B214="","",C214-F214)</f>
      </c>
      <c r="J214" s="11">
        <f>IF(OR(B214="",G214=0),"",ROUND(I214/H214,2))</f>
      </c>
      <c r="K214" s="9">
        <f>IF(B214="","",IF(COUNTIF($B$2:B214,B214)=1,MAX($K$1:K213)+1,""))</f>
      </c>
    </row>
    <row r="215">
      <c r="G215" s="9">
        <f>IF(B215="","",D215+E215)</f>
      </c>
      <c r="H215" s="10">
        <f>IF(B215="","",ROUND(G215/60,2))</f>
      </c>
      <c r="I215" s="11">
        <f>IF(B215="","",C215-F215)</f>
      </c>
      <c r="J215" s="11">
        <f>IF(OR(B215="",G215=0),"",ROUND(I215/H215,2))</f>
      </c>
      <c r="K215" s="9">
        <f>IF(B215="","",IF(COUNTIF($B$2:B215,B215)=1,MAX($K$1:K214)+1,""))</f>
      </c>
    </row>
    <row r="216">
      <c r="G216" s="9">
        <f>IF(B216="","",D216+E216)</f>
      </c>
      <c r="H216" s="10">
        <f>IF(B216="","",ROUND(G216/60,2))</f>
      </c>
      <c r="I216" s="11">
        <f>IF(B216="","",C216-F216)</f>
      </c>
      <c r="J216" s="11">
        <f>IF(OR(B216="",G216=0),"",ROUND(I216/H216,2))</f>
      </c>
      <c r="K216" s="9">
        <f>IF(B216="","",IF(COUNTIF($B$2:B216,B216)=1,MAX($K$1:K215)+1,""))</f>
      </c>
    </row>
    <row r="217">
      <c r="G217" s="9">
        <f>IF(B217="","",D217+E217)</f>
      </c>
      <c r="H217" s="10">
        <f>IF(B217="","",ROUND(G217/60,2))</f>
      </c>
      <c r="I217" s="11">
        <f>IF(B217="","",C217-F217)</f>
      </c>
      <c r="J217" s="11">
        <f>IF(OR(B217="",G217=0),"",ROUND(I217/H217,2))</f>
      </c>
      <c r="K217" s="9">
        <f>IF(B217="","",IF(COUNTIF($B$2:B217,B217)=1,MAX($K$1:K216)+1,""))</f>
      </c>
    </row>
    <row r="218">
      <c r="G218" s="9">
        <f>IF(B218="","",D218+E218)</f>
      </c>
      <c r="H218" s="10">
        <f>IF(B218="","",ROUND(G218/60,2))</f>
      </c>
      <c r="I218" s="11">
        <f>IF(B218="","",C218-F218)</f>
      </c>
      <c r="J218" s="11">
        <f>IF(OR(B218="",G218=0),"",ROUND(I218/H218,2))</f>
      </c>
      <c r="K218" s="9">
        <f>IF(B218="","",IF(COUNTIF($B$2:B218,B218)=1,MAX($K$1:K217)+1,""))</f>
      </c>
    </row>
    <row r="219">
      <c r="G219" s="9">
        <f>IF(B219="","",D219+E219)</f>
      </c>
      <c r="H219" s="10">
        <f>IF(B219="","",ROUND(G219/60,2))</f>
      </c>
      <c r="I219" s="11">
        <f>IF(B219="","",C219-F219)</f>
      </c>
      <c r="J219" s="11">
        <f>IF(OR(B219="",G219=0),"",ROUND(I219/H219,2))</f>
      </c>
      <c r="K219" s="9">
        <f>IF(B219="","",IF(COUNTIF($B$2:B219,B219)=1,MAX($K$1:K218)+1,""))</f>
      </c>
    </row>
    <row r="220">
      <c r="G220" s="9">
        <f>IF(B220="","",D220+E220)</f>
      </c>
      <c r="H220" s="10">
        <f>IF(B220="","",ROUND(G220/60,2))</f>
      </c>
      <c r="I220" s="11">
        <f>IF(B220="","",C220-F220)</f>
      </c>
      <c r="J220" s="11">
        <f>IF(OR(B220="",G220=0),"",ROUND(I220/H220,2))</f>
      </c>
      <c r="K220" s="9">
        <f>IF(B220="","",IF(COUNTIF($B$2:B220,B220)=1,MAX($K$1:K219)+1,""))</f>
      </c>
    </row>
    <row r="221">
      <c r="G221" s="9">
        <f>IF(B221="","",D221+E221)</f>
      </c>
      <c r="H221" s="10">
        <f>IF(B221="","",ROUND(G221/60,2))</f>
      </c>
      <c r="I221" s="11">
        <f>IF(B221="","",C221-F221)</f>
      </c>
      <c r="J221" s="11">
        <f>IF(OR(B221="",G221=0),"",ROUND(I221/H221,2))</f>
      </c>
      <c r="K221" s="9">
        <f>IF(B221="","",IF(COUNTIF($B$2:B221,B221)=1,MAX($K$1:K220)+1,""))</f>
      </c>
    </row>
    <row r="222">
      <c r="G222" s="9">
        <f>IF(B222="","",D222+E222)</f>
      </c>
      <c r="H222" s="10">
        <f>IF(B222="","",ROUND(G222/60,2))</f>
      </c>
      <c r="I222" s="11">
        <f>IF(B222="","",C222-F222)</f>
      </c>
      <c r="J222" s="11">
        <f>IF(OR(B222="",G222=0),"",ROUND(I222/H222,2))</f>
      </c>
      <c r="K222" s="9">
        <f>IF(B222="","",IF(COUNTIF($B$2:B222,B222)=1,MAX($K$1:K221)+1,""))</f>
      </c>
    </row>
    <row r="223">
      <c r="G223" s="9">
        <f>IF(B223="","",D223+E223)</f>
      </c>
      <c r="H223" s="10">
        <f>IF(B223="","",ROUND(G223/60,2))</f>
      </c>
      <c r="I223" s="11">
        <f>IF(B223="","",C223-F223)</f>
      </c>
      <c r="J223" s="11">
        <f>IF(OR(B223="",G223=0),"",ROUND(I223/H223,2))</f>
      </c>
      <c r="K223" s="9">
        <f>IF(B223="","",IF(COUNTIF($B$2:B223,B223)=1,MAX($K$1:K222)+1,""))</f>
      </c>
    </row>
    <row r="224">
      <c r="G224" s="9">
        <f>IF(B224="","",D224+E224)</f>
      </c>
      <c r="H224" s="10">
        <f>IF(B224="","",ROUND(G224/60,2))</f>
      </c>
      <c r="I224" s="11">
        <f>IF(B224="","",C224-F224)</f>
      </c>
      <c r="J224" s="11">
        <f>IF(OR(B224="",G224=0),"",ROUND(I224/H224,2))</f>
      </c>
      <c r="K224" s="9">
        <f>IF(B224="","",IF(COUNTIF($B$2:B224,B224)=1,MAX($K$1:K223)+1,""))</f>
      </c>
    </row>
    <row r="225">
      <c r="G225" s="9">
        <f>IF(B225="","",D225+E225)</f>
      </c>
      <c r="H225" s="10">
        <f>IF(B225="","",ROUND(G225/60,2))</f>
      </c>
      <c r="I225" s="11">
        <f>IF(B225="","",C225-F225)</f>
      </c>
      <c r="J225" s="11">
        <f>IF(OR(B225="",G225=0),"",ROUND(I225/H225,2))</f>
      </c>
      <c r="K225" s="9">
        <f>IF(B225="","",IF(COUNTIF($B$2:B225,B225)=1,MAX($K$1:K224)+1,""))</f>
      </c>
    </row>
    <row r="226">
      <c r="G226" s="9">
        <f>IF(B226="","",D226+E226)</f>
      </c>
      <c r="H226" s="10">
        <f>IF(B226="","",ROUND(G226/60,2))</f>
      </c>
      <c r="I226" s="11">
        <f>IF(B226="","",C226-F226)</f>
      </c>
      <c r="J226" s="11">
        <f>IF(OR(B226="",G226=0),"",ROUND(I226/H226,2))</f>
      </c>
      <c r="K226" s="9">
        <f>IF(B226="","",IF(COUNTIF($B$2:B226,B226)=1,MAX($K$1:K225)+1,""))</f>
      </c>
    </row>
    <row r="227">
      <c r="G227" s="9">
        <f>IF(B227="","",D227+E227)</f>
      </c>
      <c r="H227" s="10">
        <f>IF(B227="","",ROUND(G227/60,2))</f>
      </c>
      <c r="I227" s="11">
        <f>IF(B227="","",C227-F227)</f>
      </c>
      <c r="J227" s="11">
        <f>IF(OR(B227="",G227=0),"",ROUND(I227/H227,2))</f>
      </c>
      <c r="K227" s="9">
        <f>IF(B227="","",IF(COUNTIF($B$2:B227,B227)=1,MAX($K$1:K226)+1,""))</f>
      </c>
    </row>
    <row r="228">
      <c r="G228" s="9">
        <f>IF(B228="","",D228+E228)</f>
      </c>
      <c r="H228" s="10">
        <f>IF(B228="","",ROUND(G228/60,2))</f>
      </c>
      <c r="I228" s="11">
        <f>IF(B228="","",C228-F228)</f>
      </c>
      <c r="J228" s="11">
        <f>IF(OR(B228="",G228=0),"",ROUND(I228/H228,2))</f>
      </c>
      <c r="K228" s="9">
        <f>IF(B228="","",IF(COUNTIF($B$2:B228,B228)=1,MAX($K$1:K227)+1,""))</f>
      </c>
    </row>
    <row r="229">
      <c r="G229" s="9">
        <f>IF(B229="","",D229+E229)</f>
      </c>
      <c r="H229" s="10">
        <f>IF(B229="","",ROUND(G229/60,2))</f>
      </c>
      <c r="I229" s="11">
        <f>IF(B229="","",C229-F229)</f>
      </c>
      <c r="J229" s="11">
        <f>IF(OR(B229="",G229=0),"",ROUND(I229/H229,2))</f>
      </c>
      <c r="K229" s="9">
        <f>IF(B229="","",IF(COUNTIF($B$2:B229,B229)=1,MAX($K$1:K228)+1,""))</f>
      </c>
    </row>
    <row r="230">
      <c r="G230" s="9">
        <f>IF(B230="","",D230+E230)</f>
      </c>
      <c r="H230" s="10">
        <f>IF(B230="","",ROUND(G230/60,2))</f>
      </c>
      <c r="I230" s="11">
        <f>IF(B230="","",C230-F230)</f>
      </c>
      <c r="J230" s="11">
        <f>IF(OR(B230="",G230=0),"",ROUND(I230/H230,2))</f>
      </c>
      <c r="K230" s="9">
        <f>IF(B230="","",IF(COUNTIF($B$2:B230,B230)=1,MAX($K$1:K229)+1,""))</f>
      </c>
    </row>
    <row r="231">
      <c r="G231" s="9">
        <f>IF(B231="","",D231+E231)</f>
      </c>
      <c r="H231" s="10">
        <f>IF(B231="","",ROUND(G231/60,2))</f>
      </c>
      <c r="I231" s="11">
        <f>IF(B231="","",C231-F231)</f>
      </c>
      <c r="J231" s="11">
        <f>IF(OR(B231="",G231=0),"",ROUND(I231/H231,2))</f>
      </c>
      <c r="K231" s="9">
        <f>IF(B231="","",IF(COUNTIF($B$2:B231,B231)=1,MAX($K$1:K230)+1,""))</f>
      </c>
    </row>
    <row r="232">
      <c r="G232" s="9">
        <f>IF(B232="","",D232+E232)</f>
      </c>
      <c r="H232" s="10">
        <f>IF(B232="","",ROUND(G232/60,2))</f>
      </c>
      <c r="I232" s="11">
        <f>IF(B232="","",C232-F232)</f>
      </c>
      <c r="J232" s="11">
        <f>IF(OR(B232="",G232=0),"",ROUND(I232/H232,2))</f>
      </c>
      <c r="K232" s="9">
        <f>IF(B232="","",IF(COUNTIF($B$2:B232,B232)=1,MAX($K$1:K231)+1,""))</f>
      </c>
    </row>
    <row r="233">
      <c r="G233" s="9">
        <f>IF(B233="","",D233+E233)</f>
      </c>
      <c r="H233" s="10">
        <f>IF(B233="","",ROUND(G233/60,2))</f>
      </c>
      <c r="I233" s="11">
        <f>IF(B233="","",C233-F233)</f>
      </c>
      <c r="J233" s="11">
        <f>IF(OR(B233="",G233=0),"",ROUND(I233/H233,2))</f>
      </c>
      <c r="K233" s="9">
        <f>IF(B233="","",IF(COUNTIF($B$2:B233,B233)=1,MAX($K$1:K232)+1,""))</f>
      </c>
    </row>
    <row r="234">
      <c r="G234" s="9">
        <f>IF(B234="","",D234+E234)</f>
      </c>
      <c r="H234" s="10">
        <f>IF(B234="","",ROUND(G234/60,2))</f>
      </c>
      <c r="I234" s="11">
        <f>IF(B234="","",C234-F234)</f>
      </c>
      <c r="J234" s="11">
        <f>IF(OR(B234="",G234=0),"",ROUND(I234/H234,2))</f>
      </c>
      <c r="K234" s="9">
        <f>IF(B234="","",IF(COUNTIF($B$2:B234,B234)=1,MAX($K$1:K233)+1,""))</f>
      </c>
    </row>
    <row r="235">
      <c r="G235" s="9">
        <f>IF(B235="","",D235+E235)</f>
      </c>
      <c r="H235" s="10">
        <f>IF(B235="","",ROUND(G235/60,2))</f>
      </c>
      <c r="I235" s="11">
        <f>IF(B235="","",C235-F235)</f>
      </c>
      <c r="J235" s="11">
        <f>IF(OR(B235="",G235=0),"",ROUND(I235/H235,2))</f>
      </c>
      <c r="K235" s="9">
        <f>IF(B235="","",IF(COUNTIF($B$2:B235,B235)=1,MAX($K$1:K234)+1,""))</f>
      </c>
    </row>
    <row r="236">
      <c r="G236" s="9">
        <f>IF(B236="","",D236+E236)</f>
      </c>
      <c r="H236" s="10">
        <f>IF(B236="","",ROUND(G236/60,2))</f>
      </c>
      <c r="I236" s="11">
        <f>IF(B236="","",C236-F236)</f>
      </c>
      <c r="J236" s="11">
        <f>IF(OR(B236="",G236=0),"",ROUND(I236/H236,2))</f>
      </c>
      <c r="K236" s="9">
        <f>IF(B236="","",IF(COUNTIF($B$2:B236,B236)=1,MAX($K$1:K235)+1,""))</f>
      </c>
    </row>
    <row r="237">
      <c r="G237" s="9">
        <f>IF(B237="","",D237+E237)</f>
      </c>
      <c r="H237" s="10">
        <f>IF(B237="","",ROUND(G237/60,2))</f>
      </c>
      <c r="I237" s="11">
        <f>IF(B237="","",C237-F237)</f>
      </c>
      <c r="J237" s="11">
        <f>IF(OR(B237="",G237=0),"",ROUND(I237/H237,2))</f>
      </c>
      <c r="K237" s="9">
        <f>IF(B237="","",IF(COUNTIF($B$2:B237,B237)=1,MAX($K$1:K236)+1,""))</f>
      </c>
    </row>
    <row r="238">
      <c r="G238" s="9">
        <f>IF(B238="","",D238+E238)</f>
      </c>
      <c r="H238" s="10">
        <f>IF(B238="","",ROUND(G238/60,2))</f>
      </c>
      <c r="I238" s="11">
        <f>IF(B238="","",C238-F238)</f>
      </c>
      <c r="J238" s="11">
        <f>IF(OR(B238="",G238=0),"",ROUND(I238/H238,2))</f>
      </c>
      <c r="K238" s="9">
        <f>IF(B238="","",IF(COUNTIF($B$2:B238,B238)=1,MAX($K$1:K237)+1,""))</f>
      </c>
    </row>
    <row r="239">
      <c r="G239" s="9">
        <f>IF(B239="","",D239+E239)</f>
      </c>
      <c r="H239" s="10">
        <f>IF(B239="","",ROUND(G239/60,2))</f>
      </c>
      <c r="I239" s="11">
        <f>IF(B239="","",C239-F239)</f>
      </c>
      <c r="J239" s="11">
        <f>IF(OR(B239="",G239=0),"",ROUND(I239/H239,2))</f>
      </c>
      <c r="K239" s="9">
        <f>IF(B239="","",IF(COUNTIF($B$2:B239,B239)=1,MAX($K$1:K238)+1,""))</f>
      </c>
    </row>
    <row r="240">
      <c r="G240" s="9">
        <f>IF(B240="","",D240+E240)</f>
      </c>
      <c r="H240" s="10">
        <f>IF(B240="","",ROUND(G240/60,2))</f>
      </c>
      <c r="I240" s="11">
        <f>IF(B240="","",C240-F240)</f>
      </c>
      <c r="J240" s="11">
        <f>IF(OR(B240="",G240=0),"",ROUND(I240/H240,2))</f>
      </c>
      <c r="K240" s="9">
        <f>IF(B240="","",IF(COUNTIF($B$2:B240,B240)=1,MAX($K$1:K239)+1,""))</f>
      </c>
    </row>
    <row r="241">
      <c r="G241" s="9">
        <f>IF(B241="","",D241+E241)</f>
      </c>
      <c r="H241" s="10">
        <f>IF(B241="","",ROUND(G241/60,2))</f>
      </c>
      <c r="I241" s="11">
        <f>IF(B241="","",C241-F241)</f>
      </c>
      <c r="J241" s="11">
        <f>IF(OR(B241="",G241=0),"",ROUND(I241/H241,2))</f>
      </c>
      <c r="K241" s="9">
        <f>IF(B241="","",IF(COUNTIF($B$2:B241,B241)=1,MAX($K$1:K240)+1,""))</f>
      </c>
    </row>
    <row r="242">
      <c r="G242" s="9">
        <f>IF(B242="","",D242+E242)</f>
      </c>
      <c r="H242" s="10">
        <f>IF(B242="","",ROUND(G242/60,2))</f>
      </c>
      <c r="I242" s="11">
        <f>IF(B242="","",C242-F242)</f>
      </c>
      <c r="J242" s="11">
        <f>IF(OR(B242="",G242=0),"",ROUND(I242/H242,2))</f>
      </c>
      <c r="K242" s="9">
        <f>IF(B242="","",IF(COUNTIF($B$2:B242,B242)=1,MAX($K$1:K241)+1,""))</f>
      </c>
    </row>
    <row r="243">
      <c r="G243" s="9">
        <f>IF(B243="","",D243+E243)</f>
      </c>
      <c r="H243" s="10">
        <f>IF(B243="","",ROUND(G243/60,2))</f>
      </c>
      <c r="I243" s="11">
        <f>IF(B243="","",C243-F243)</f>
      </c>
      <c r="J243" s="11">
        <f>IF(OR(B243="",G243=0),"",ROUND(I243/H243,2))</f>
      </c>
      <c r="K243" s="9">
        <f>IF(B243="","",IF(COUNTIF($B$2:B243,B243)=1,MAX($K$1:K242)+1,""))</f>
      </c>
    </row>
    <row r="244">
      <c r="G244" s="9">
        <f>IF(B244="","",D244+E244)</f>
      </c>
      <c r="H244" s="10">
        <f>IF(B244="","",ROUND(G244/60,2))</f>
      </c>
      <c r="I244" s="11">
        <f>IF(B244="","",C244-F244)</f>
      </c>
      <c r="J244" s="11">
        <f>IF(OR(B244="",G244=0),"",ROUND(I244/H244,2))</f>
      </c>
      <c r="K244" s="9">
        <f>IF(B244="","",IF(COUNTIF($B$2:B244,B244)=1,MAX($K$1:K243)+1,""))</f>
      </c>
    </row>
    <row r="245">
      <c r="G245" s="9">
        <f>IF(B245="","",D245+E245)</f>
      </c>
      <c r="H245" s="10">
        <f>IF(B245="","",ROUND(G245/60,2))</f>
      </c>
      <c r="I245" s="11">
        <f>IF(B245="","",C245-F245)</f>
      </c>
      <c r="J245" s="11">
        <f>IF(OR(B245="",G245=0),"",ROUND(I245/H245,2))</f>
      </c>
      <c r="K245" s="9">
        <f>IF(B245="","",IF(COUNTIF($B$2:B245,B245)=1,MAX($K$1:K244)+1,""))</f>
      </c>
    </row>
    <row r="246">
      <c r="G246" s="9">
        <f>IF(B246="","",D246+E246)</f>
      </c>
      <c r="H246" s="10">
        <f>IF(B246="","",ROUND(G246/60,2))</f>
      </c>
      <c r="I246" s="11">
        <f>IF(B246="","",C246-F246)</f>
      </c>
      <c r="J246" s="11">
        <f>IF(OR(B246="",G246=0),"",ROUND(I246/H246,2))</f>
      </c>
      <c r="K246" s="9">
        <f>IF(B246="","",IF(COUNTIF($B$2:B246,B246)=1,MAX($K$1:K245)+1,""))</f>
      </c>
    </row>
    <row r="247">
      <c r="G247" s="9">
        <f>IF(B247="","",D247+E247)</f>
      </c>
      <c r="H247" s="10">
        <f>IF(B247="","",ROUND(G247/60,2))</f>
      </c>
      <c r="I247" s="11">
        <f>IF(B247="","",C247-F247)</f>
      </c>
      <c r="J247" s="11">
        <f>IF(OR(B247="",G247=0),"",ROUND(I247/H247,2))</f>
      </c>
      <c r="K247" s="9">
        <f>IF(B247="","",IF(COUNTIF($B$2:B247,B247)=1,MAX($K$1:K246)+1,""))</f>
      </c>
    </row>
    <row r="248">
      <c r="G248" s="9">
        <f>IF(B248="","",D248+E248)</f>
      </c>
      <c r="H248" s="10">
        <f>IF(B248="","",ROUND(G248/60,2))</f>
      </c>
      <c r="I248" s="11">
        <f>IF(B248="","",C248-F248)</f>
      </c>
      <c r="J248" s="11">
        <f>IF(OR(B248="",G248=0),"",ROUND(I248/H248,2))</f>
      </c>
      <c r="K248" s="9">
        <f>IF(B248="","",IF(COUNTIF($B$2:B248,B248)=1,MAX($K$1:K247)+1,""))</f>
      </c>
    </row>
    <row r="249">
      <c r="G249" s="9">
        <f>IF(B249="","",D249+E249)</f>
      </c>
      <c r="H249" s="10">
        <f>IF(B249="","",ROUND(G249/60,2))</f>
      </c>
      <c r="I249" s="11">
        <f>IF(B249="","",C249-F249)</f>
      </c>
      <c r="J249" s="11">
        <f>IF(OR(B249="",G249=0),"",ROUND(I249/H249,2))</f>
      </c>
      <c r="K249" s="9">
        <f>IF(B249="","",IF(COUNTIF($B$2:B249,B249)=1,MAX($K$1:K248)+1,""))</f>
      </c>
    </row>
    <row r="250">
      <c r="G250" s="9">
        <f>IF(B250="","",D250+E250)</f>
      </c>
      <c r="H250" s="10">
        <f>IF(B250="","",ROUND(G250/60,2))</f>
      </c>
      <c r="I250" s="11">
        <f>IF(B250="","",C250-F250)</f>
      </c>
      <c r="J250" s="11">
        <f>IF(OR(B250="",G250=0),"",ROUND(I250/H250,2))</f>
      </c>
      <c r="K250" s="9">
        <f>IF(B250="","",IF(COUNTIF($B$2:B250,B250)=1,MAX($K$1:K249)+1,""))</f>
      </c>
    </row>
    <row r="251">
      <c r="G251" s="9">
        <f>IF(B251="","",D251+E251)</f>
      </c>
      <c r="H251" s="10">
        <f>IF(B251="","",ROUND(G251/60,2))</f>
      </c>
      <c r="I251" s="11">
        <f>IF(B251="","",C251-F251)</f>
      </c>
      <c r="J251" s="11">
        <f>IF(OR(B251="",G251=0),"",ROUND(I251/H251,2))</f>
      </c>
      <c r="K251" s="9">
        <f>IF(B251="","",IF(COUNTIF($B$2:B251,B251)=1,MAX($K$1:K250)+1,""))</f>
      </c>
    </row>
    <row r="252">
      <c r="G252" s="9">
        <f>IF(B252="","",D252+E252)</f>
      </c>
      <c r="H252" s="10">
        <f>IF(B252="","",ROUND(G252/60,2))</f>
      </c>
      <c r="I252" s="11">
        <f>IF(B252="","",C252-F252)</f>
      </c>
      <c r="J252" s="11">
        <f>IF(OR(B252="",G252=0),"",ROUND(I252/H252,2))</f>
      </c>
      <c r="K252" s="9">
        <f>IF(B252="","",IF(COUNTIF($B$2:B252,B252)=1,MAX($K$1:K251)+1,""))</f>
      </c>
    </row>
    <row r="253">
      <c r="G253" s="9">
        <f>IF(B253="","",D253+E253)</f>
      </c>
      <c r="H253" s="10">
        <f>IF(B253="","",ROUND(G253/60,2))</f>
      </c>
      <c r="I253" s="11">
        <f>IF(B253="","",C253-F253)</f>
      </c>
      <c r="J253" s="11">
        <f>IF(OR(B253="",G253=0),"",ROUND(I253/H253,2))</f>
      </c>
      <c r="K253" s="9">
        <f>IF(B253="","",IF(COUNTIF($B$2:B253,B253)=1,MAX($K$1:K252)+1,""))</f>
      </c>
    </row>
    <row r="254">
      <c r="G254" s="9">
        <f>IF(B254="","",D254+E254)</f>
      </c>
      <c r="H254" s="10">
        <f>IF(B254="","",ROUND(G254/60,2))</f>
      </c>
      <c r="I254" s="11">
        <f>IF(B254="","",C254-F254)</f>
      </c>
      <c r="J254" s="11">
        <f>IF(OR(B254="",G254=0),"",ROUND(I254/H254,2))</f>
      </c>
      <c r="K254" s="9">
        <f>IF(B254="","",IF(COUNTIF($B$2:B254,B254)=1,MAX($K$1:K253)+1,""))</f>
      </c>
    </row>
    <row r="255">
      <c r="G255" s="9">
        <f>IF(B255="","",D255+E255)</f>
      </c>
      <c r="H255" s="10">
        <f>IF(B255="","",ROUND(G255/60,2))</f>
      </c>
      <c r="I255" s="11">
        <f>IF(B255="","",C255-F255)</f>
      </c>
      <c r="J255" s="11">
        <f>IF(OR(B255="",G255=0),"",ROUND(I255/H255,2))</f>
      </c>
      <c r="K255" s="9">
        <f>IF(B255="","",IF(COUNTIF($B$2:B255,B255)=1,MAX($K$1:K254)+1,""))</f>
      </c>
    </row>
    <row r="256">
      <c r="G256" s="9">
        <f>IF(B256="","",D256+E256)</f>
      </c>
      <c r="H256" s="10">
        <f>IF(B256="","",ROUND(G256/60,2))</f>
      </c>
      <c r="I256" s="11">
        <f>IF(B256="","",C256-F256)</f>
      </c>
      <c r="J256" s="11">
        <f>IF(OR(B256="",G256=0),"",ROUND(I256/H256,2))</f>
      </c>
      <c r="K256" s="9">
        <f>IF(B256="","",IF(COUNTIF($B$2:B256,B256)=1,MAX($K$1:K255)+1,""))</f>
      </c>
    </row>
    <row r="257">
      <c r="G257" s="9">
        <f>IF(B257="","",D257+E257)</f>
      </c>
      <c r="H257" s="10">
        <f>IF(B257="","",ROUND(G257/60,2))</f>
      </c>
      <c r="I257" s="11">
        <f>IF(B257="","",C257-F257)</f>
      </c>
      <c r="J257" s="11">
        <f>IF(OR(B257="",G257=0),"",ROUND(I257/H257,2))</f>
      </c>
      <c r="K257" s="9">
        <f>IF(B257="","",IF(COUNTIF($B$2:B257,B257)=1,MAX($K$1:K256)+1,""))</f>
      </c>
    </row>
    <row r="258">
      <c r="G258" s="9">
        <f>IF(B258="","",D258+E258)</f>
      </c>
      <c r="H258" s="10">
        <f>IF(B258="","",ROUND(G258/60,2))</f>
      </c>
      <c r="I258" s="11">
        <f>IF(B258="","",C258-F258)</f>
      </c>
      <c r="J258" s="11">
        <f>IF(OR(B258="",G258=0),"",ROUND(I258/H258,2))</f>
      </c>
      <c r="K258" s="9">
        <f>IF(B258="","",IF(COUNTIF($B$2:B258,B258)=1,MAX($K$1:K257)+1,""))</f>
      </c>
    </row>
    <row r="259">
      <c r="G259" s="9">
        <f>IF(B259="","",D259+E259)</f>
      </c>
      <c r="H259" s="10">
        <f>IF(B259="","",ROUND(G259/60,2))</f>
      </c>
      <c r="I259" s="11">
        <f>IF(B259="","",C259-F259)</f>
      </c>
      <c r="J259" s="11">
        <f>IF(OR(B259="",G259=0),"",ROUND(I259/H259,2))</f>
      </c>
      <c r="K259" s="9">
        <f>IF(B259="","",IF(COUNTIF($B$2:B259,B259)=1,MAX($K$1:K258)+1,""))</f>
      </c>
    </row>
    <row r="260">
      <c r="G260" s="9">
        <f>IF(B260="","",D260+E260)</f>
      </c>
      <c r="H260" s="10">
        <f>IF(B260="","",ROUND(G260/60,2))</f>
      </c>
      <c r="I260" s="11">
        <f>IF(B260="","",C260-F260)</f>
      </c>
      <c r="J260" s="11">
        <f>IF(OR(B260="",G260=0),"",ROUND(I260/H260,2))</f>
      </c>
      <c r="K260" s="9">
        <f>IF(B260="","",IF(COUNTIF($B$2:B260,B260)=1,MAX($K$1:K259)+1,""))</f>
      </c>
    </row>
    <row r="261">
      <c r="G261" s="9">
        <f>IF(B261="","",D261+E261)</f>
      </c>
      <c r="H261" s="10">
        <f>IF(B261="","",ROUND(G261/60,2))</f>
      </c>
      <c r="I261" s="11">
        <f>IF(B261="","",C261-F261)</f>
      </c>
      <c r="J261" s="11">
        <f>IF(OR(B261="",G261=0),"",ROUND(I261/H261,2))</f>
      </c>
      <c r="K261" s="9">
        <f>IF(B261="","",IF(COUNTIF($B$2:B261,B261)=1,MAX($K$1:K260)+1,""))</f>
      </c>
    </row>
    <row r="262">
      <c r="G262" s="9">
        <f>IF(B262="","",D262+E262)</f>
      </c>
      <c r="H262" s="10">
        <f>IF(B262="","",ROUND(G262/60,2))</f>
      </c>
      <c r="I262" s="11">
        <f>IF(B262="","",C262-F262)</f>
      </c>
      <c r="J262" s="11">
        <f>IF(OR(B262="",G262=0),"",ROUND(I262/H262,2))</f>
      </c>
      <c r="K262" s="9">
        <f>IF(B262="","",IF(COUNTIF($B$2:B262,B262)=1,MAX($K$1:K261)+1,""))</f>
      </c>
    </row>
    <row r="263">
      <c r="G263" s="9">
        <f>IF(B263="","",D263+E263)</f>
      </c>
      <c r="H263" s="10">
        <f>IF(B263="","",ROUND(G263/60,2))</f>
      </c>
      <c r="I263" s="11">
        <f>IF(B263="","",C263-F263)</f>
      </c>
      <c r="J263" s="11">
        <f>IF(OR(B263="",G263=0),"",ROUND(I263/H263,2))</f>
      </c>
      <c r="K263" s="9">
        <f>IF(B263="","",IF(COUNTIF($B$2:B263,B263)=1,MAX($K$1:K262)+1,""))</f>
      </c>
    </row>
    <row r="264">
      <c r="G264" s="9">
        <f>IF(B264="","",D264+E264)</f>
      </c>
      <c r="H264" s="10">
        <f>IF(B264="","",ROUND(G264/60,2))</f>
      </c>
      <c r="I264" s="11">
        <f>IF(B264="","",C264-F264)</f>
      </c>
      <c r="J264" s="11">
        <f>IF(OR(B264="",G264=0),"",ROUND(I264/H264,2))</f>
      </c>
      <c r="K264" s="9">
        <f>IF(B264="","",IF(COUNTIF($B$2:B264,B264)=1,MAX($K$1:K263)+1,""))</f>
      </c>
    </row>
    <row r="265">
      <c r="G265" s="9">
        <f>IF(B265="","",D265+E265)</f>
      </c>
      <c r="H265" s="10">
        <f>IF(B265="","",ROUND(G265/60,2))</f>
      </c>
      <c r="I265" s="11">
        <f>IF(B265="","",C265-F265)</f>
      </c>
      <c r="J265" s="11">
        <f>IF(OR(B265="",G265=0),"",ROUND(I265/H265,2))</f>
      </c>
      <c r="K265" s="9">
        <f>IF(B265="","",IF(COUNTIF($B$2:B265,B265)=1,MAX($K$1:K264)+1,""))</f>
      </c>
    </row>
    <row r="266">
      <c r="G266" s="9">
        <f>IF(B266="","",D266+E266)</f>
      </c>
      <c r="H266" s="10">
        <f>IF(B266="","",ROUND(G266/60,2))</f>
      </c>
      <c r="I266" s="11">
        <f>IF(B266="","",C266-F266)</f>
      </c>
      <c r="J266" s="11">
        <f>IF(OR(B266="",G266=0),"",ROUND(I266/H266,2))</f>
      </c>
      <c r="K266" s="9">
        <f>IF(B266="","",IF(COUNTIF($B$2:B266,B266)=1,MAX($K$1:K265)+1,""))</f>
      </c>
    </row>
    <row r="267">
      <c r="G267" s="9">
        <f>IF(B267="","",D267+E267)</f>
      </c>
      <c r="H267" s="10">
        <f>IF(B267="","",ROUND(G267/60,2))</f>
      </c>
      <c r="I267" s="11">
        <f>IF(B267="","",C267-F267)</f>
      </c>
      <c r="J267" s="11">
        <f>IF(OR(B267="",G267=0),"",ROUND(I267/H267,2))</f>
      </c>
      <c r="K267" s="9">
        <f>IF(B267="","",IF(COUNTIF($B$2:B267,B267)=1,MAX($K$1:K266)+1,""))</f>
      </c>
    </row>
    <row r="268">
      <c r="G268" s="9">
        <f>IF(B268="","",D268+E268)</f>
      </c>
      <c r="H268" s="10">
        <f>IF(B268="","",ROUND(G268/60,2))</f>
      </c>
      <c r="I268" s="11">
        <f>IF(B268="","",C268-F268)</f>
      </c>
      <c r="J268" s="11">
        <f>IF(OR(B268="",G268=0),"",ROUND(I268/H268,2))</f>
      </c>
      <c r="K268" s="9">
        <f>IF(B268="","",IF(COUNTIF($B$2:B268,B268)=1,MAX($K$1:K267)+1,""))</f>
      </c>
    </row>
    <row r="269">
      <c r="G269" s="9">
        <f>IF(B269="","",D269+E269)</f>
      </c>
      <c r="H269" s="10">
        <f>IF(B269="","",ROUND(G269/60,2))</f>
      </c>
      <c r="I269" s="11">
        <f>IF(B269="","",C269-F269)</f>
      </c>
      <c r="J269" s="11">
        <f>IF(OR(B269="",G269=0),"",ROUND(I269/H269,2))</f>
      </c>
      <c r="K269" s="9">
        <f>IF(B269="","",IF(COUNTIF($B$2:B269,B269)=1,MAX($K$1:K268)+1,""))</f>
      </c>
    </row>
    <row r="270">
      <c r="G270" s="9">
        <f>IF(B270="","",D270+E270)</f>
      </c>
      <c r="H270" s="10">
        <f>IF(B270="","",ROUND(G270/60,2))</f>
      </c>
      <c r="I270" s="11">
        <f>IF(B270="","",C270-F270)</f>
      </c>
      <c r="J270" s="11">
        <f>IF(OR(B270="",G270=0),"",ROUND(I270/H270,2))</f>
      </c>
      <c r="K270" s="9">
        <f>IF(B270="","",IF(COUNTIF($B$2:B270,B270)=1,MAX($K$1:K269)+1,""))</f>
      </c>
    </row>
    <row r="271">
      <c r="G271" s="9">
        <f>IF(B271="","",D271+E271)</f>
      </c>
      <c r="H271" s="10">
        <f>IF(B271="","",ROUND(G271/60,2))</f>
      </c>
      <c r="I271" s="11">
        <f>IF(B271="","",C271-F271)</f>
      </c>
      <c r="J271" s="11">
        <f>IF(OR(B271="",G271=0),"",ROUND(I271/H271,2))</f>
      </c>
      <c r="K271" s="9">
        <f>IF(B271="","",IF(COUNTIF($B$2:B271,B271)=1,MAX($K$1:K270)+1,""))</f>
      </c>
    </row>
    <row r="272">
      <c r="G272" s="9">
        <f>IF(B272="","",D272+E272)</f>
      </c>
      <c r="H272" s="10">
        <f>IF(B272="","",ROUND(G272/60,2))</f>
      </c>
      <c r="I272" s="11">
        <f>IF(B272="","",C272-F272)</f>
      </c>
      <c r="J272" s="11">
        <f>IF(OR(B272="",G272=0),"",ROUND(I272/H272,2))</f>
      </c>
      <c r="K272" s="9">
        <f>IF(B272="","",IF(COUNTIF($B$2:B272,B272)=1,MAX($K$1:K271)+1,""))</f>
      </c>
    </row>
    <row r="273">
      <c r="G273" s="9">
        <f>IF(B273="","",D273+E273)</f>
      </c>
      <c r="H273" s="10">
        <f>IF(B273="","",ROUND(G273/60,2))</f>
      </c>
      <c r="I273" s="11">
        <f>IF(B273="","",C273-F273)</f>
      </c>
      <c r="J273" s="11">
        <f>IF(OR(B273="",G273=0),"",ROUND(I273/H273,2))</f>
      </c>
      <c r="K273" s="9">
        <f>IF(B273="","",IF(COUNTIF($B$2:B273,B273)=1,MAX($K$1:K272)+1,""))</f>
      </c>
    </row>
    <row r="274">
      <c r="G274" s="9">
        <f>IF(B274="","",D274+E274)</f>
      </c>
      <c r="H274" s="10">
        <f>IF(B274="","",ROUND(G274/60,2))</f>
      </c>
      <c r="I274" s="11">
        <f>IF(B274="","",C274-F274)</f>
      </c>
      <c r="J274" s="11">
        <f>IF(OR(B274="",G274=0),"",ROUND(I274/H274,2))</f>
      </c>
      <c r="K274" s="9">
        <f>IF(B274="","",IF(COUNTIF($B$2:B274,B274)=1,MAX($K$1:K273)+1,""))</f>
      </c>
    </row>
    <row r="275">
      <c r="G275" s="9">
        <f>IF(B275="","",D275+E275)</f>
      </c>
      <c r="H275" s="10">
        <f>IF(B275="","",ROUND(G275/60,2))</f>
      </c>
      <c r="I275" s="11">
        <f>IF(B275="","",C275-F275)</f>
      </c>
      <c r="J275" s="11">
        <f>IF(OR(B275="",G275=0),"",ROUND(I275/H275,2))</f>
      </c>
      <c r="K275" s="9">
        <f>IF(B275="","",IF(COUNTIF($B$2:B275,B275)=1,MAX($K$1:K274)+1,""))</f>
      </c>
    </row>
    <row r="276">
      <c r="G276" s="9">
        <f>IF(B276="","",D276+E276)</f>
      </c>
      <c r="H276" s="10">
        <f>IF(B276="","",ROUND(G276/60,2))</f>
      </c>
      <c r="I276" s="11">
        <f>IF(B276="","",C276-F276)</f>
      </c>
      <c r="J276" s="11">
        <f>IF(OR(B276="",G276=0),"",ROUND(I276/H276,2))</f>
      </c>
      <c r="K276" s="9">
        <f>IF(B276="","",IF(COUNTIF($B$2:B276,B276)=1,MAX($K$1:K275)+1,""))</f>
      </c>
    </row>
    <row r="277">
      <c r="G277" s="9">
        <f>IF(B277="","",D277+E277)</f>
      </c>
      <c r="H277" s="10">
        <f>IF(B277="","",ROUND(G277/60,2))</f>
      </c>
      <c r="I277" s="11">
        <f>IF(B277="","",C277-F277)</f>
      </c>
      <c r="J277" s="11">
        <f>IF(OR(B277="",G277=0),"",ROUND(I277/H277,2))</f>
      </c>
      <c r="K277" s="9">
        <f>IF(B277="","",IF(COUNTIF($B$2:B277,B277)=1,MAX($K$1:K276)+1,""))</f>
      </c>
    </row>
    <row r="278">
      <c r="G278" s="9">
        <f>IF(B278="","",D278+E278)</f>
      </c>
      <c r="H278" s="10">
        <f>IF(B278="","",ROUND(G278/60,2))</f>
      </c>
      <c r="I278" s="11">
        <f>IF(B278="","",C278-F278)</f>
      </c>
      <c r="J278" s="11">
        <f>IF(OR(B278="",G278=0),"",ROUND(I278/H278,2))</f>
      </c>
      <c r="K278" s="9">
        <f>IF(B278="","",IF(COUNTIF($B$2:B278,B278)=1,MAX($K$1:K277)+1,""))</f>
      </c>
    </row>
    <row r="279">
      <c r="G279" s="9">
        <f>IF(B279="","",D279+E279)</f>
      </c>
      <c r="H279" s="10">
        <f>IF(B279="","",ROUND(G279/60,2))</f>
      </c>
      <c r="I279" s="11">
        <f>IF(B279="","",C279-F279)</f>
      </c>
      <c r="J279" s="11">
        <f>IF(OR(B279="",G279=0),"",ROUND(I279/H279,2))</f>
      </c>
      <c r="K279" s="9">
        <f>IF(B279="","",IF(COUNTIF($B$2:B279,B279)=1,MAX($K$1:K278)+1,""))</f>
      </c>
    </row>
    <row r="280">
      <c r="G280" s="9">
        <f>IF(B280="","",D280+E280)</f>
      </c>
      <c r="H280" s="10">
        <f>IF(B280="","",ROUND(G280/60,2))</f>
      </c>
      <c r="I280" s="11">
        <f>IF(B280="","",C280-F280)</f>
      </c>
      <c r="J280" s="11">
        <f>IF(OR(B280="",G280=0),"",ROUND(I280/H280,2))</f>
      </c>
      <c r="K280" s="9">
        <f>IF(B280="","",IF(COUNTIF($B$2:B280,B280)=1,MAX($K$1:K279)+1,""))</f>
      </c>
    </row>
    <row r="281">
      <c r="G281" s="9">
        <f>IF(B281="","",D281+E281)</f>
      </c>
      <c r="H281" s="10">
        <f>IF(B281="","",ROUND(G281/60,2))</f>
      </c>
      <c r="I281" s="11">
        <f>IF(B281="","",C281-F281)</f>
      </c>
      <c r="J281" s="11">
        <f>IF(OR(B281="",G281=0),"",ROUND(I281/H281,2))</f>
      </c>
      <c r="K281" s="9">
        <f>IF(B281="","",IF(COUNTIF($B$2:B281,B281)=1,MAX($K$1:K280)+1,""))</f>
      </c>
    </row>
    <row r="282">
      <c r="G282" s="9">
        <f>IF(B282="","",D282+E282)</f>
      </c>
      <c r="H282" s="10">
        <f>IF(B282="","",ROUND(G282/60,2))</f>
      </c>
      <c r="I282" s="11">
        <f>IF(B282="","",C282-F282)</f>
      </c>
      <c r="J282" s="11">
        <f>IF(OR(B282="",G282=0),"",ROUND(I282/H282,2))</f>
      </c>
      <c r="K282" s="9">
        <f>IF(B282="","",IF(COUNTIF($B$2:B282,B282)=1,MAX($K$1:K281)+1,""))</f>
      </c>
    </row>
    <row r="283">
      <c r="G283" s="9">
        <f>IF(B283="","",D283+E283)</f>
      </c>
      <c r="H283" s="10">
        <f>IF(B283="","",ROUND(G283/60,2))</f>
      </c>
      <c r="I283" s="11">
        <f>IF(B283="","",C283-F283)</f>
      </c>
      <c r="J283" s="11">
        <f>IF(OR(B283="",G283=0),"",ROUND(I283/H283,2))</f>
      </c>
      <c r="K283" s="9">
        <f>IF(B283="","",IF(COUNTIF($B$2:B283,B283)=1,MAX($K$1:K282)+1,""))</f>
      </c>
    </row>
    <row r="284">
      <c r="G284" s="9">
        <f>IF(B284="","",D284+E284)</f>
      </c>
      <c r="H284" s="10">
        <f>IF(B284="","",ROUND(G284/60,2))</f>
      </c>
      <c r="I284" s="11">
        <f>IF(B284="","",C284-F284)</f>
      </c>
      <c r="J284" s="11">
        <f>IF(OR(B284="",G284=0),"",ROUND(I284/H284,2))</f>
      </c>
      <c r="K284" s="9">
        <f>IF(B284="","",IF(COUNTIF($B$2:B284,B284)=1,MAX($K$1:K283)+1,""))</f>
      </c>
    </row>
    <row r="285">
      <c r="G285" s="9">
        <f>IF(B285="","",D285+E285)</f>
      </c>
      <c r="H285" s="10">
        <f>IF(B285="","",ROUND(G285/60,2))</f>
      </c>
      <c r="I285" s="11">
        <f>IF(B285="","",C285-F285)</f>
      </c>
      <c r="J285" s="11">
        <f>IF(OR(B285="",G285=0),"",ROUND(I285/H285,2))</f>
      </c>
      <c r="K285" s="9">
        <f>IF(B285="","",IF(COUNTIF($B$2:B285,B285)=1,MAX($K$1:K284)+1,""))</f>
      </c>
    </row>
    <row r="286">
      <c r="G286" s="9">
        <f>IF(B286="","",D286+E286)</f>
      </c>
      <c r="H286" s="10">
        <f>IF(B286="","",ROUND(G286/60,2))</f>
      </c>
      <c r="I286" s="11">
        <f>IF(B286="","",C286-F286)</f>
      </c>
      <c r="J286" s="11">
        <f>IF(OR(B286="",G286=0),"",ROUND(I286/H286,2))</f>
      </c>
      <c r="K286" s="9">
        <f>IF(B286="","",IF(COUNTIF($B$2:B286,B286)=1,MAX($K$1:K285)+1,""))</f>
      </c>
    </row>
    <row r="287">
      <c r="G287" s="9">
        <f>IF(B287="","",D287+E287)</f>
      </c>
      <c r="H287" s="10">
        <f>IF(B287="","",ROUND(G287/60,2))</f>
      </c>
      <c r="I287" s="11">
        <f>IF(B287="","",C287-F287)</f>
      </c>
      <c r="J287" s="11">
        <f>IF(OR(B287="",G287=0),"",ROUND(I287/H287,2))</f>
      </c>
      <c r="K287" s="9">
        <f>IF(B287="","",IF(COUNTIF($B$2:B287,B287)=1,MAX($K$1:K286)+1,""))</f>
      </c>
    </row>
    <row r="288">
      <c r="G288" s="9">
        <f>IF(B288="","",D288+E288)</f>
      </c>
      <c r="H288" s="10">
        <f>IF(B288="","",ROUND(G288/60,2))</f>
      </c>
      <c r="I288" s="11">
        <f>IF(B288="","",C288-F288)</f>
      </c>
      <c r="J288" s="11">
        <f>IF(OR(B288="",G288=0),"",ROUND(I288/H288,2))</f>
      </c>
      <c r="K288" s="9">
        <f>IF(B288="","",IF(COUNTIF($B$2:B288,B288)=1,MAX($K$1:K287)+1,""))</f>
      </c>
    </row>
    <row r="289">
      <c r="G289" s="9">
        <f>IF(B289="","",D289+E289)</f>
      </c>
      <c r="H289" s="10">
        <f>IF(B289="","",ROUND(G289/60,2))</f>
      </c>
      <c r="I289" s="11">
        <f>IF(B289="","",C289-F289)</f>
      </c>
      <c r="J289" s="11">
        <f>IF(OR(B289="",G289=0),"",ROUND(I289/H289,2))</f>
      </c>
      <c r="K289" s="9">
        <f>IF(B289="","",IF(COUNTIF($B$2:B289,B289)=1,MAX($K$1:K288)+1,""))</f>
      </c>
    </row>
    <row r="290">
      <c r="G290" s="9">
        <f>IF(B290="","",D290+E290)</f>
      </c>
      <c r="H290" s="10">
        <f>IF(B290="","",ROUND(G290/60,2))</f>
      </c>
      <c r="I290" s="11">
        <f>IF(B290="","",C290-F290)</f>
      </c>
      <c r="J290" s="11">
        <f>IF(OR(B290="",G290=0),"",ROUND(I290/H290,2))</f>
      </c>
      <c r="K290" s="9">
        <f>IF(B290="","",IF(COUNTIF($B$2:B290,B290)=1,MAX($K$1:K289)+1,""))</f>
      </c>
    </row>
    <row r="291">
      <c r="G291" s="9">
        <f>IF(B291="","",D291+E291)</f>
      </c>
      <c r="H291" s="10">
        <f>IF(B291="","",ROUND(G291/60,2))</f>
      </c>
      <c r="I291" s="11">
        <f>IF(B291="","",C291-F291)</f>
      </c>
      <c r="J291" s="11">
        <f>IF(OR(B291="",G291=0),"",ROUND(I291/H291,2))</f>
      </c>
      <c r="K291" s="9">
        <f>IF(B291="","",IF(COUNTIF($B$2:B291,B291)=1,MAX($K$1:K290)+1,""))</f>
      </c>
    </row>
    <row r="292">
      <c r="G292" s="9">
        <f>IF(B292="","",D292+E292)</f>
      </c>
      <c r="H292" s="10">
        <f>IF(B292="","",ROUND(G292/60,2))</f>
      </c>
      <c r="I292" s="11">
        <f>IF(B292="","",C292-F292)</f>
      </c>
      <c r="J292" s="11">
        <f>IF(OR(B292="",G292=0),"",ROUND(I292/H292,2))</f>
      </c>
      <c r="K292" s="9">
        <f>IF(B292="","",IF(COUNTIF($B$2:B292,B292)=1,MAX($K$1:K291)+1,""))</f>
      </c>
    </row>
    <row r="293">
      <c r="G293" s="9">
        <f>IF(B293="","",D293+E293)</f>
      </c>
      <c r="H293" s="10">
        <f>IF(B293="","",ROUND(G293/60,2))</f>
      </c>
      <c r="I293" s="11">
        <f>IF(B293="","",C293-F293)</f>
      </c>
      <c r="J293" s="11">
        <f>IF(OR(B293="",G293=0),"",ROUND(I293/H293,2))</f>
      </c>
      <c r="K293" s="9">
        <f>IF(B293="","",IF(COUNTIF($B$2:B293,B293)=1,MAX($K$1:K292)+1,""))</f>
      </c>
    </row>
    <row r="294">
      <c r="G294" s="9">
        <f>IF(B294="","",D294+E294)</f>
      </c>
      <c r="H294" s="10">
        <f>IF(B294="","",ROUND(G294/60,2))</f>
      </c>
      <c r="I294" s="11">
        <f>IF(B294="","",C294-F294)</f>
      </c>
      <c r="J294" s="11">
        <f>IF(OR(B294="",G294=0),"",ROUND(I294/H294,2))</f>
      </c>
      <c r="K294" s="9">
        <f>IF(B294="","",IF(COUNTIF($B$2:B294,B294)=1,MAX($K$1:K293)+1,""))</f>
      </c>
    </row>
    <row r="295">
      <c r="G295" s="9">
        <f>IF(B295="","",D295+E295)</f>
      </c>
      <c r="H295" s="10">
        <f>IF(B295="","",ROUND(G295/60,2))</f>
      </c>
      <c r="I295" s="11">
        <f>IF(B295="","",C295-F295)</f>
      </c>
      <c r="J295" s="11">
        <f>IF(OR(B295="",G295=0),"",ROUND(I295/H295,2))</f>
      </c>
      <c r="K295" s="9">
        <f>IF(B295="","",IF(COUNTIF($B$2:B295,B295)=1,MAX($K$1:K294)+1,""))</f>
      </c>
    </row>
    <row r="296">
      <c r="G296" s="9">
        <f>IF(B296="","",D296+E296)</f>
      </c>
      <c r="H296" s="10">
        <f>IF(B296="","",ROUND(G296/60,2))</f>
      </c>
      <c r="I296" s="11">
        <f>IF(B296="","",C296-F296)</f>
      </c>
      <c r="J296" s="11">
        <f>IF(OR(B296="",G296=0),"",ROUND(I296/H296,2))</f>
      </c>
      <c r="K296" s="9">
        <f>IF(B296="","",IF(COUNTIF($B$2:B296,B296)=1,MAX($K$1:K295)+1,""))</f>
      </c>
    </row>
    <row r="297">
      <c r="G297" s="9">
        <f>IF(B297="","",D297+E297)</f>
      </c>
      <c r="H297" s="10">
        <f>IF(B297="","",ROUND(G297/60,2))</f>
      </c>
      <c r="I297" s="11">
        <f>IF(B297="","",C297-F297)</f>
      </c>
      <c r="J297" s="11">
        <f>IF(OR(B297="",G297=0),"",ROUND(I297/H297,2))</f>
      </c>
      <c r="K297" s="9">
        <f>IF(B297="","",IF(COUNTIF($B$2:B297,B297)=1,MAX($K$1:K296)+1,""))</f>
      </c>
    </row>
    <row r="298">
      <c r="G298" s="9">
        <f>IF(B298="","",D298+E298)</f>
      </c>
      <c r="H298" s="10">
        <f>IF(B298="","",ROUND(G298/60,2))</f>
      </c>
      <c r="I298" s="11">
        <f>IF(B298="","",C298-F298)</f>
      </c>
      <c r="J298" s="11">
        <f>IF(OR(B298="",G298=0),"",ROUND(I298/H298,2))</f>
      </c>
      <c r="K298" s="9">
        <f>IF(B298="","",IF(COUNTIF($B$2:B298,B298)=1,MAX($K$1:K297)+1,""))</f>
      </c>
    </row>
    <row r="299">
      <c r="G299" s="9">
        <f>IF(B299="","",D299+E299)</f>
      </c>
      <c r="H299" s="10">
        <f>IF(B299="","",ROUND(G299/60,2))</f>
      </c>
      <c r="I299" s="11">
        <f>IF(B299="","",C299-F299)</f>
      </c>
      <c r="J299" s="11">
        <f>IF(OR(B299="",G299=0),"",ROUND(I299/H299,2))</f>
      </c>
      <c r="K299" s="9">
        <f>IF(B299="","",IF(COUNTIF($B$2:B299,B299)=1,MAX($K$1:K298)+1,""))</f>
      </c>
    </row>
    <row r="300">
      <c r="G300" s="9">
        <f>IF(B300="","",D300+E300)</f>
      </c>
      <c r="H300" s="10">
        <f>IF(B300="","",ROUND(G300/60,2))</f>
      </c>
      <c r="I300" s="11">
        <f>IF(B300="","",C300-F300)</f>
      </c>
      <c r="J300" s="11">
        <f>IF(OR(B300="",G300=0),"",ROUND(I300/H300,2))</f>
      </c>
      <c r="K300" s="9">
        <f>IF(B300="","",IF(COUNTIF($B$2:B300,B300)=1,MAX($K$1:K299)+1,""))</f>
      </c>
    </row>
    <row r="301">
      <c r="G301" s="9">
        <f>IF(B301="","",D301+E301)</f>
      </c>
      <c r="H301" s="10">
        <f>IF(B301="","",ROUND(G301/60,2))</f>
      </c>
      <c r="I301" s="11">
        <f>IF(B301="","",C301-F301)</f>
      </c>
      <c r="J301" s="11">
        <f>IF(OR(B301="",G301=0),"",ROUND(I301/H301,2))</f>
      </c>
      <c r="K301" s="9">
        <f>IF(B301="","",IF(COUNTIF($B$2:B301,B301)=1,MAX($K$1:K300)+1,""))</f>
      </c>
    </row>
    <row r="302">
      <c r="G302" s="9">
        <f>IF(B302="","",D302+E302)</f>
      </c>
      <c r="H302" s="10">
        <f>IF(B302="","",ROUND(G302/60,2))</f>
      </c>
      <c r="I302" s="11">
        <f>IF(B302="","",C302-F302)</f>
      </c>
      <c r="J302" s="11">
        <f>IF(OR(B302="",G302=0),"",ROUND(I302/H302,2))</f>
      </c>
      <c r="K302" s="9">
        <f>IF(B302="","",IF(COUNTIF($B$2:B302,B302)=1,MAX($K$1:K301)+1,""))</f>
      </c>
    </row>
    <row r="303">
      <c r="G303" s="9">
        <f>IF(B303="","",D303+E303)</f>
      </c>
      <c r="H303" s="10">
        <f>IF(B303="","",ROUND(G303/60,2))</f>
      </c>
      <c r="I303" s="11">
        <f>IF(B303="","",C303-F303)</f>
      </c>
      <c r="J303" s="11">
        <f>IF(OR(B303="",G303=0),"",ROUND(I303/H303,2))</f>
      </c>
      <c r="K303" s="9">
        <f>IF(B303="","",IF(COUNTIF($B$2:B303,B303)=1,MAX($K$1:K302)+1,""))</f>
      </c>
    </row>
    <row r="304">
      <c r="G304" s="9">
        <f>IF(B304="","",D304+E304)</f>
      </c>
      <c r="H304" s="10">
        <f>IF(B304="","",ROUND(G304/60,2))</f>
      </c>
      <c r="I304" s="11">
        <f>IF(B304="","",C304-F304)</f>
      </c>
      <c r="J304" s="11">
        <f>IF(OR(B304="",G304=0),"",ROUND(I304/H304,2))</f>
      </c>
      <c r="K304" s="9">
        <f>IF(B304="","",IF(COUNTIF($B$2:B304,B304)=1,MAX($K$1:K303)+1,""))</f>
      </c>
    </row>
    <row r="305">
      <c r="G305" s="9">
        <f>IF(B305="","",D305+E305)</f>
      </c>
      <c r="H305" s="10">
        <f>IF(B305="","",ROUND(G305/60,2))</f>
      </c>
      <c r="I305" s="11">
        <f>IF(B305="","",C305-F305)</f>
      </c>
      <c r="J305" s="11">
        <f>IF(OR(B305="",G305=0),"",ROUND(I305/H305,2))</f>
      </c>
      <c r="K305" s="9">
        <f>IF(B305="","",IF(COUNTIF($B$2:B305,B305)=1,MAX($K$1:K304)+1,""))</f>
      </c>
    </row>
    <row r="306">
      <c r="G306" s="9">
        <f>IF(B306="","",D306+E306)</f>
      </c>
      <c r="H306" s="10">
        <f>IF(B306="","",ROUND(G306/60,2))</f>
      </c>
      <c r="I306" s="11">
        <f>IF(B306="","",C306-F306)</f>
      </c>
      <c r="J306" s="11">
        <f>IF(OR(B306="",G306=0),"",ROUND(I306/H306,2))</f>
      </c>
      <c r="K306" s="9">
        <f>IF(B306="","",IF(COUNTIF($B$2:B306,B306)=1,MAX($K$1:K305)+1,""))</f>
      </c>
    </row>
    <row r="307">
      <c r="G307" s="9">
        <f>IF(B307="","",D307+E307)</f>
      </c>
      <c r="H307" s="10">
        <f>IF(B307="","",ROUND(G307/60,2))</f>
      </c>
      <c r="I307" s="11">
        <f>IF(B307="","",C307-F307)</f>
      </c>
      <c r="J307" s="11">
        <f>IF(OR(B307="",G307=0),"",ROUND(I307/H307,2))</f>
      </c>
      <c r="K307" s="9">
        <f>IF(B307="","",IF(COUNTIF($B$2:B307,B307)=1,MAX($K$1:K306)+1,""))</f>
      </c>
    </row>
    <row r="308">
      <c r="G308" s="9">
        <f>IF(B308="","",D308+E308)</f>
      </c>
      <c r="H308" s="10">
        <f>IF(B308="","",ROUND(G308/60,2))</f>
      </c>
      <c r="I308" s="11">
        <f>IF(B308="","",C308-F308)</f>
      </c>
      <c r="J308" s="11">
        <f>IF(OR(B308="",G308=0),"",ROUND(I308/H308,2))</f>
      </c>
      <c r="K308" s="9">
        <f>IF(B308="","",IF(COUNTIF($B$2:B308,B308)=1,MAX($K$1:K307)+1,""))</f>
      </c>
    </row>
    <row r="309">
      <c r="G309" s="9">
        <f>IF(B309="","",D309+E309)</f>
      </c>
      <c r="H309" s="10">
        <f>IF(B309="","",ROUND(G309/60,2))</f>
      </c>
      <c r="I309" s="11">
        <f>IF(B309="","",C309-F309)</f>
      </c>
      <c r="J309" s="11">
        <f>IF(OR(B309="",G309=0),"",ROUND(I309/H309,2))</f>
      </c>
      <c r="K309" s="9">
        <f>IF(B309="","",IF(COUNTIF($B$2:B309,B309)=1,MAX($K$1:K308)+1,""))</f>
      </c>
    </row>
    <row r="310">
      <c r="G310" s="9">
        <f>IF(B310="","",D310+E310)</f>
      </c>
      <c r="H310" s="10">
        <f>IF(B310="","",ROUND(G310/60,2))</f>
      </c>
      <c r="I310" s="11">
        <f>IF(B310="","",C310-F310)</f>
      </c>
      <c r="J310" s="11">
        <f>IF(OR(B310="",G310=0),"",ROUND(I310/H310,2))</f>
      </c>
      <c r="K310" s="9">
        <f>IF(B310="","",IF(COUNTIF($B$2:B310,B310)=1,MAX($K$1:K309)+1,""))</f>
      </c>
    </row>
    <row r="311">
      <c r="G311" s="9">
        <f>IF(B311="","",D311+E311)</f>
      </c>
      <c r="H311" s="10">
        <f>IF(B311="","",ROUND(G311/60,2))</f>
      </c>
      <c r="I311" s="11">
        <f>IF(B311="","",C311-F311)</f>
      </c>
      <c r="J311" s="11">
        <f>IF(OR(B311="",G311=0),"",ROUND(I311/H311,2))</f>
      </c>
      <c r="K311" s="9">
        <f>IF(B311="","",IF(COUNTIF($B$2:B311,B311)=1,MAX($K$1:K310)+1,""))</f>
      </c>
    </row>
    <row r="312">
      <c r="G312" s="9">
        <f>IF(B312="","",D312+E312)</f>
      </c>
      <c r="H312" s="10">
        <f>IF(B312="","",ROUND(G312/60,2))</f>
      </c>
      <c r="I312" s="11">
        <f>IF(B312="","",C312-F312)</f>
      </c>
      <c r="J312" s="11">
        <f>IF(OR(B312="",G312=0),"",ROUND(I312/H312,2))</f>
      </c>
      <c r="K312" s="9">
        <f>IF(B312="","",IF(COUNTIF($B$2:B312,B312)=1,MAX($K$1:K311)+1,""))</f>
      </c>
    </row>
    <row r="313">
      <c r="G313" s="9">
        <f>IF(B313="","",D313+E313)</f>
      </c>
      <c r="H313" s="10">
        <f>IF(B313="","",ROUND(G313/60,2))</f>
      </c>
      <c r="I313" s="11">
        <f>IF(B313="","",C313-F313)</f>
      </c>
      <c r="J313" s="11">
        <f>IF(OR(B313="",G313=0),"",ROUND(I313/H313,2))</f>
      </c>
      <c r="K313" s="9">
        <f>IF(B313="","",IF(COUNTIF($B$2:B313,B313)=1,MAX($K$1:K312)+1,""))</f>
      </c>
    </row>
    <row r="314">
      <c r="G314" s="9">
        <f>IF(B314="","",D314+E314)</f>
      </c>
      <c r="H314" s="10">
        <f>IF(B314="","",ROUND(G314/60,2))</f>
      </c>
      <c r="I314" s="11">
        <f>IF(B314="","",C314-F314)</f>
      </c>
      <c r="J314" s="11">
        <f>IF(OR(B314="",G314=0),"",ROUND(I314/H314,2))</f>
      </c>
      <c r="K314" s="9">
        <f>IF(B314="","",IF(COUNTIF($B$2:B314,B314)=1,MAX($K$1:K313)+1,""))</f>
      </c>
    </row>
    <row r="315">
      <c r="G315" s="9">
        <f>IF(B315="","",D315+E315)</f>
      </c>
      <c r="H315" s="10">
        <f>IF(B315="","",ROUND(G315/60,2))</f>
      </c>
      <c r="I315" s="11">
        <f>IF(B315="","",C315-F315)</f>
      </c>
      <c r="J315" s="11">
        <f>IF(OR(B315="",G315=0),"",ROUND(I315/H315,2))</f>
      </c>
      <c r="K315" s="9">
        <f>IF(B315="","",IF(COUNTIF($B$2:B315,B315)=1,MAX($K$1:K314)+1,""))</f>
      </c>
    </row>
    <row r="316">
      <c r="G316" s="9">
        <f>IF(B316="","",D316+E316)</f>
      </c>
      <c r="H316" s="10">
        <f>IF(B316="","",ROUND(G316/60,2))</f>
      </c>
      <c r="I316" s="11">
        <f>IF(B316="","",C316-F316)</f>
      </c>
      <c r="J316" s="11">
        <f>IF(OR(B316="",G316=0),"",ROUND(I316/H316,2))</f>
      </c>
      <c r="K316" s="9">
        <f>IF(B316="","",IF(COUNTIF($B$2:B316,B316)=1,MAX($K$1:K315)+1,""))</f>
      </c>
    </row>
    <row r="317">
      <c r="G317" s="9">
        <f>IF(B317="","",D317+E317)</f>
      </c>
      <c r="H317" s="10">
        <f>IF(B317="","",ROUND(G317/60,2))</f>
      </c>
      <c r="I317" s="11">
        <f>IF(B317="","",C317-F317)</f>
      </c>
      <c r="J317" s="11">
        <f>IF(OR(B317="",G317=0),"",ROUND(I317/H317,2))</f>
      </c>
      <c r="K317" s="9">
        <f>IF(B317="","",IF(COUNTIF($B$2:B317,B317)=1,MAX($K$1:K316)+1,""))</f>
      </c>
    </row>
    <row r="318">
      <c r="G318" s="9">
        <f>IF(B318="","",D318+E318)</f>
      </c>
      <c r="H318" s="10">
        <f>IF(B318="","",ROUND(G318/60,2))</f>
      </c>
      <c r="I318" s="11">
        <f>IF(B318="","",C318-F318)</f>
      </c>
      <c r="J318" s="11">
        <f>IF(OR(B318="",G318=0),"",ROUND(I318/H318,2))</f>
      </c>
      <c r="K318" s="9">
        <f>IF(B318="","",IF(COUNTIF($B$2:B318,B318)=1,MAX($K$1:K317)+1,""))</f>
      </c>
    </row>
    <row r="319">
      <c r="G319" s="9">
        <f>IF(B319="","",D319+E319)</f>
      </c>
      <c r="H319" s="10">
        <f>IF(B319="","",ROUND(G319/60,2))</f>
      </c>
      <c r="I319" s="11">
        <f>IF(B319="","",C319-F319)</f>
      </c>
      <c r="J319" s="11">
        <f>IF(OR(B319="",G319=0),"",ROUND(I319/H319,2))</f>
      </c>
      <c r="K319" s="9">
        <f>IF(B319="","",IF(COUNTIF($B$2:B319,B319)=1,MAX($K$1:K318)+1,""))</f>
      </c>
    </row>
    <row r="320">
      <c r="G320" s="9">
        <f>IF(B320="","",D320+E320)</f>
      </c>
      <c r="H320" s="10">
        <f>IF(B320="","",ROUND(G320/60,2))</f>
      </c>
      <c r="I320" s="11">
        <f>IF(B320="","",C320-F320)</f>
      </c>
      <c r="J320" s="11">
        <f>IF(OR(B320="",G320=0),"",ROUND(I320/H320,2))</f>
      </c>
      <c r="K320" s="9">
        <f>IF(B320="","",IF(COUNTIF($B$2:B320,B320)=1,MAX($K$1:K319)+1,""))</f>
      </c>
    </row>
    <row r="321">
      <c r="G321" s="9">
        <f>IF(B321="","",D321+E321)</f>
      </c>
      <c r="H321" s="10">
        <f>IF(B321="","",ROUND(G321/60,2))</f>
      </c>
      <c r="I321" s="11">
        <f>IF(B321="","",C321-F321)</f>
      </c>
      <c r="J321" s="11">
        <f>IF(OR(B321="",G321=0),"",ROUND(I321/H321,2))</f>
      </c>
      <c r="K321" s="9">
        <f>IF(B321="","",IF(COUNTIF($B$2:B321,B321)=1,MAX($K$1:K320)+1,""))</f>
      </c>
    </row>
    <row r="322">
      <c r="G322" s="9">
        <f>IF(B322="","",D322+E322)</f>
      </c>
      <c r="H322" s="10">
        <f>IF(B322="","",ROUND(G322/60,2))</f>
      </c>
      <c r="I322" s="11">
        <f>IF(B322="","",C322-F322)</f>
      </c>
      <c r="J322" s="11">
        <f>IF(OR(B322="",G322=0),"",ROUND(I322/H322,2))</f>
      </c>
      <c r="K322" s="9">
        <f>IF(B322="","",IF(COUNTIF($B$2:B322,B322)=1,MAX($K$1:K321)+1,""))</f>
      </c>
    </row>
    <row r="323">
      <c r="G323" s="9">
        <f>IF(B323="","",D323+E323)</f>
      </c>
      <c r="H323" s="10">
        <f>IF(B323="","",ROUND(G323/60,2))</f>
      </c>
      <c r="I323" s="11">
        <f>IF(B323="","",C323-F323)</f>
      </c>
      <c r="J323" s="11">
        <f>IF(OR(B323="",G323=0),"",ROUND(I323/H323,2))</f>
      </c>
      <c r="K323" s="9">
        <f>IF(B323="","",IF(COUNTIF($B$2:B323,B323)=1,MAX($K$1:K322)+1,""))</f>
      </c>
    </row>
    <row r="324">
      <c r="G324" s="9">
        <f>IF(B324="","",D324+E324)</f>
      </c>
      <c r="H324" s="10">
        <f>IF(B324="","",ROUND(G324/60,2))</f>
      </c>
      <c r="I324" s="11">
        <f>IF(B324="","",C324-F324)</f>
      </c>
      <c r="J324" s="11">
        <f>IF(OR(B324="",G324=0),"",ROUND(I324/H324,2))</f>
      </c>
      <c r="K324" s="9">
        <f>IF(B324="","",IF(COUNTIF($B$2:B324,B324)=1,MAX($K$1:K323)+1,""))</f>
      </c>
    </row>
    <row r="325">
      <c r="G325" s="9">
        <f>IF(B325="","",D325+E325)</f>
      </c>
      <c r="H325" s="10">
        <f>IF(B325="","",ROUND(G325/60,2))</f>
      </c>
      <c r="I325" s="11">
        <f>IF(B325="","",C325-F325)</f>
      </c>
      <c r="J325" s="11">
        <f>IF(OR(B325="",G325=0),"",ROUND(I325/H325,2))</f>
      </c>
      <c r="K325" s="9">
        <f>IF(B325="","",IF(COUNTIF($B$2:B325,B325)=1,MAX($K$1:K324)+1,""))</f>
      </c>
    </row>
    <row r="326">
      <c r="G326" s="9">
        <f>IF(B326="","",D326+E326)</f>
      </c>
      <c r="H326" s="10">
        <f>IF(B326="","",ROUND(G326/60,2))</f>
      </c>
      <c r="I326" s="11">
        <f>IF(B326="","",C326-F326)</f>
      </c>
      <c r="J326" s="11">
        <f>IF(OR(B326="",G326=0),"",ROUND(I326/H326,2))</f>
      </c>
      <c r="K326" s="9">
        <f>IF(B326="","",IF(COUNTIF($B$2:B326,B326)=1,MAX($K$1:K325)+1,""))</f>
      </c>
    </row>
    <row r="327">
      <c r="G327" s="9">
        <f>IF(B327="","",D327+E327)</f>
      </c>
      <c r="H327" s="10">
        <f>IF(B327="","",ROUND(G327/60,2))</f>
      </c>
      <c r="I327" s="11">
        <f>IF(B327="","",C327-F327)</f>
      </c>
      <c r="J327" s="11">
        <f>IF(OR(B327="",G327=0),"",ROUND(I327/H327,2))</f>
      </c>
      <c r="K327" s="9">
        <f>IF(B327="","",IF(COUNTIF($B$2:B327,B327)=1,MAX($K$1:K326)+1,""))</f>
      </c>
    </row>
    <row r="328">
      <c r="G328" s="9">
        <f>IF(B328="","",D328+E328)</f>
      </c>
      <c r="H328" s="10">
        <f>IF(B328="","",ROUND(G328/60,2))</f>
      </c>
      <c r="I328" s="11">
        <f>IF(B328="","",C328-F328)</f>
      </c>
      <c r="J328" s="11">
        <f>IF(OR(B328="",G328=0),"",ROUND(I328/H328,2))</f>
      </c>
      <c r="K328" s="9">
        <f>IF(B328="","",IF(COUNTIF($B$2:B328,B328)=1,MAX($K$1:K327)+1,""))</f>
      </c>
    </row>
    <row r="329">
      <c r="G329" s="9">
        <f>IF(B329="","",D329+E329)</f>
      </c>
      <c r="H329" s="10">
        <f>IF(B329="","",ROUND(G329/60,2))</f>
      </c>
      <c r="I329" s="11">
        <f>IF(B329="","",C329-F329)</f>
      </c>
      <c r="J329" s="11">
        <f>IF(OR(B329="",G329=0),"",ROUND(I329/H329,2))</f>
      </c>
      <c r="K329" s="9">
        <f>IF(B329="","",IF(COUNTIF($B$2:B329,B329)=1,MAX($K$1:K328)+1,""))</f>
      </c>
    </row>
    <row r="330">
      <c r="G330" s="9">
        <f>IF(B330="","",D330+E330)</f>
      </c>
      <c r="H330" s="10">
        <f>IF(B330="","",ROUND(G330/60,2))</f>
      </c>
      <c r="I330" s="11">
        <f>IF(B330="","",C330-F330)</f>
      </c>
      <c r="J330" s="11">
        <f>IF(OR(B330="",G330=0),"",ROUND(I330/H330,2))</f>
      </c>
      <c r="K330" s="9">
        <f>IF(B330="","",IF(COUNTIF($B$2:B330,B330)=1,MAX($K$1:K329)+1,""))</f>
      </c>
    </row>
    <row r="331">
      <c r="G331" s="9">
        <f>IF(B331="","",D331+E331)</f>
      </c>
      <c r="H331" s="10">
        <f>IF(B331="","",ROUND(G331/60,2))</f>
      </c>
      <c r="I331" s="11">
        <f>IF(B331="","",C331-F331)</f>
      </c>
      <c r="J331" s="11">
        <f>IF(OR(B331="",G331=0),"",ROUND(I331/H331,2))</f>
      </c>
      <c r="K331" s="9">
        <f>IF(B331="","",IF(COUNTIF($B$2:B331,B331)=1,MAX($K$1:K330)+1,""))</f>
      </c>
    </row>
    <row r="332">
      <c r="G332" s="9">
        <f>IF(B332="","",D332+E332)</f>
      </c>
      <c r="H332" s="10">
        <f>IF(B332="","",ROUND(G332/60,2))</f>
      </c>
      <c r="I332" s="11">
        <f>IF(B332="","",C332-F332)</f>
      </c>
      <c r="J332" s="11">
        <f>IF(OR(B332="",G332=0),"",ROUND(I332/H332,2))</f>
      </c>
      <c r="K332" s="9">
        <f>IF(B332="","",IF(COUNTIF($B$2:B332,B332)=1,MAX($K$1:K331)+1,""))</f>
      </c>
    </row>
    <row r="333">
      <c r="G333" s="9">
        <f>IF(B333="","",D333+E333)</f>
      </c>
      <c r="H333" s="10">
        <f>IF(B333="","",ROUND(G333/60,2))</f>
      </c>
      <c r="I333" s="11">
        <f>IF(B333="","",C333-F333)</f>
      </c>
      <c r="J333" s="11">
        <f>IF(OR(B333="",G333=0),"",ROUND(I333/H333,2))</f>
      </c>
      <c r="K333" s="9">
        <f>IF(B333="","",IF(COUNTIF($B$2:B333,B333)=1,MAX($K$1:K332)+1,""))</f>
      </c>
    </row>
    <row r="334">
      <c r="G334" s="9">
        <f>IF(B334="","",D334+E334)</f>
      </c>
      <c r="H334" s="10">
        <f>IF(B334="","",ROUND(G334/60,2))</f>
      </c>
      <c r="I334" s="11">
        <f>IF(B334="","",C334-F334)</f>
      </c>
      <c r="J334" s="11">
        <f>IF(OR(B334="",G334=0),"",ROUND(I334/H334,2))</f>
      </c>
      <c r="K334" s="9">
        <f>IF(B334="","",IF(COUNTIF($B$2:B334,B334)=1,MAX($K$1:K333)+1,""))</f>
      </c>
    </row>
    <row r="335">
      <c r="G335" s="9">
        <f>IF(B335="","",D335+E335)</f>
      </c>
      <c r="H335" s="10">
        <f>IF(B335="","",ROUND(G335/60,2))</f>
      </c>
      <c r="I335" s="11">
        <f>IF(B335="","",C335-F335)</f>
      </c>
      <c r="J335" s="11">
        <f>IF(OR(B335="",G335=0),"",ROUND(I335/H335,2))</f>
      </c>
      <c r="K335" s="9">
        <f>IF(B335="","",IF(COUNTIF($B$2:B335,B335)=1,MAX($K$1:K334)+1,""))</f>
      </c>
    </row>
    <row r="336">
      <c r="G336" s="9">
        <f>IF(B336="","",D336+E336)</f>
      </c>
      <c r="H336" s="10">
        <f>IF(B336="","",ROUND(G336/60,2))</f>
      </c>
      <c r="I336" s="11">
        <f>IF(B336="","",C336-F336)</f>
      </c>
      <c r="J336" s="11">
        <f>IF(OR(B336="",G336=0),"",ROUND(I336/H336,2))</f>
      </c>
      <c r="K336" s="9">
        <f>IF(B336="","",IF(COUNTIF($B$2:B336,B336)=1,MAX($K$1:K335)+1,""))</f>
      </c>
    </row>
    <row r="337">
      <c r="G337" s="9">
        <f>IF(B337="","",D337+E337)</f>
      </c>
      <c r="H337" s="10">
        <f>IF(B337="","",ROUND(G337/60,2))</f>
      </c>
      <c r="I337" s="11">
        <f>IF(B337="","",C337-F337)</f>
      </c>
      <c r="J337" s="11">
        <f>IF(OR(B337="",G337=0),"",ROUND(I337/H337,2))</f>
      </c>
      <c r="K337" s="9">
        <f>IF(B337="","",IF(COUNTIF($B$2:B337,B337)=1,MAX($K$1:K336)+1,""))</f>
      </c>
    </row>
    <row r="338">
      <c r="G338" s="9">
        <f>IF(B338="","",D338+E338)</f>
      </c>
      <c r="H338" s="10">
        <f>IF(B338="","",ROUND(G338/60,2))</f>
      </c>
      <c r="I338" s="11">
        <f>IF(B338="","",C338-F338)</f>
      </c>
      <c r="J338" s="11">
        <f>IF(OR(B338="",G338=0),"",ROUND(I338/H338,2))</f>
      </c>
      <c r="K338" s="9">
        <f>IF(B338="","",IF(COUNTIF($B$2:B338,B338)=1,MAX($K$1:K337)+1,""))</f>
      </c>
    </row>
    <row r="339">
      <c r="G339" s="9">
        <f>IF(B339="","",D339+E339)</f>
      </c>
      <c r="H339" s="10">
        <f>IF(B339="","",ROUND(G339/60,2))</f>
      </c>
      <c r="I339" s="11">
        <f>IF(B339="","",C339-F339)</f>
      </c>
      <c r="J339" s="11">
        <f>IF(OR(B339="",G339=0),"",ROUND(I339/H339,2))</f>
      </c>
      <c r="K339" s="9">
        <f>IF(B339="","",IF(COUNTIF($B$2:B339,B339)=1,MAX($K$1:K338)+1,""))</f>
      </c>
    </row>
    <row r="340">
      <c r="G340" s="9">
        <f>IF(B340="","",D340+E340)</f>
      </c>
      <c r="H340" s="10">
        <f>IF(B340="","",ROUND(G340/60,2))</f>
      </c>
      <c r="I340" s="11">
        <f>IF(B340="","",C340-F340)</f>
      </c>
      <c r="J340" s="11">
        <f>IF(OR(B340="",G340=0),"",ROUND(I340/H340,2))</f>
      </c>
      <c r="K340" s="9">
        <f>IF(B340="","",IF(COUNTIF($B$2:B340,B340)=1,MAX($K$1:K339)+1,""))</f>
      </c>
    </row>
    <row r="341">
      <c r="G341" s="9">
        <f>IF(B341="","",D341+E341)</f>
      </c>
      <c r="H341" s="10">
        <f>IF(B341="","",ROUND(G341/60,2))</f>
      </c>
      <c r="I341" s="11">
        <f>IF(B341="","",C341-F341)</f>
      </c>
      <c r="J341" s="11">
        <f>IF(OR(B341="",G341=0),"",ROUND(I341/H341,2))</f>
      </c>
      <c r="K341" s="9">
        <f>IF(B341="","",IF(COUNTIF($B$2:B341,B341)=1,MAX($K$1:K340)+1,""))</f>
      </c>
    </row>
    <row r="342">
      <c r="G342" s="9">
        <f>IF(B342="","",D342+E342)</f>
      </c>
      <c r="H342" s="10">
        <f>IF(B342="","",ROUND(G342/60,2))</f>
      </c>
      <c r="I342" s="11">
        <f>IF(B342="","",C342-F342)</f>
      </c>
      <c r="J342" s="11">
        <f>IF(OR(B342="",G342=0),"",ROUND(I342/H342,2))</f>
      </c>
      <c r="K342" s="9">
        <f>IF(B342="","",IF(COUNTIF($B$2:B342,B342)=1,MAX($K$1:K341)+1,""))</f>
      </c>
    </row>
    <row r="343">
      <c r="G343" s="9">
        <f>IF(B343="","",D343+E343)</f>
      </c>
      <c r="H343" s="10">
        <f>IF(B343="","",ROUND(G343/60,2))</f>
      </c>
      <c r="I343" s="11">
        <f>IF(B343="","",C343-F343)</f>
      </c>
      <c r="J343" s="11">
        <f>IF(OR(B343="",G343=0),"",ROUND(I343/H343,2))</f>
      </c>
      <c r="K343" s="9">
        <f>IF(B343="","",IF(COUNTIF($B$2:B343,B343)=1,MAX($K$1:K342)+1,""))</f>
      </c>
    </row>
    <row r="344">
      <c r="G344" s="9">
        <f>IF(B344="","",D344+E344)</f>
      </c>
      <c r="H344" s="10">
        <f>IF(B344="","",ROUND(G344/60,2))</f>
      </c>
      <c r="I344" s="11">
        <f>IF(B344="","",C344-F344)</f>
      </c>
      <c r="J344" s="11">
        <f>IF(OR(B344="",G344=0),"",ROUND(I344/H344,2))</f>
      </c>
      <c r="K344" s="9">
        <f>IF(B344="","",IF(COUNTIF($B$2:B344,B344)=1,MAX($K$1:K343)+1,""))</f>
      </c>
    </row>
    <row r="345">
      <c r="G345" s="9">
        <f>IF(B345="","",D345+E345)</f>
      </c>
      <c r="H345" s="10">
        <f>IF(B345="","",ROUND(G345/60,2))</f>
      </c>
      <c r="I345" s="11">
        <f>IF(B345="","",C345-F345)</f>
      </c>
      <c r="J345" s="11">
        <f>IF(OR(B345="",G345=0),"",ROUND(I345/H345,2))</f>
      </c>
      <c r="K345" s="9">
        <f>IF(B345="","",IF(COUNTIF($B$2:B345,B345)=1,MAX($K$1:K344)+1,""))</f>
      </c>
    </row>
    <row r="346">
      <c r="G346" s="9">
        <f>IF(B346="","",D346+E346)</f>
      </c>
      <c r="H346" s="10">
        <f>IF(B346="","",ROUND(G346/60,2))</f>
      </c>
      <c r="I346" s="11">
        <f>IF(B346="","",C346-F346)</f>
      </c>
      <c r="J346" s="11">
        <f>IF(OR(B346="",G346=0),"",ROUND(I346/H346,2))</f>
      </c>
      <c r="K346" s="9">
        <f>IF(B346="","",IF(COUNTIF($B$2:B346,B346)=1,MAX($K$1:K345)+1,""))</f>
      </c>
    </row>
    <row r="347">
      <c r="G347" s="9">
        <f>IF(B347="","",D347+E347)</f>
      </c>
      <c r="H347" s="10">
        <f>IF(B347="","",ROUND(G347/60,2))</f>
      </c>
      <c r="I347" s="11">
        <f>IF(B347="","",C347-F347)</f>
      </c>
      <c r="J347" s="11">
        <f>IF(OR(B347="",G347=0),"",ROUND(I347/H347,2))</f>
      </c>
      <c r="K347" s="9">
        <f>IF(B347="","",IF(COUNTIF($B$2:B347,B347)=1,MAX($K$1:K346)+1,""))</f>
      </c>
    </row>
    <row r="348">
      <c r="G348" s="9">
        <f>IF(B348="","",D348+E348)</f>
      </c>
      <c r="H348" s="10">
        <f>IF(B348="","",ROUND(G348/60,2))</f>
      </c>
      <c r="I348" s="11">
        <f>IF(B348="","",C348-F348)</f>
      </c>
      <c r="J348" s="11">
        <f>IF(OR(B348="",G348=0),"",ROUND(I348/H348,2))</f>
      </c>
      <c r="K348" s="9">
        <f>IF(B348="","",IF(COUNTIF($B$2:B348,B348)=1,MAX($K$1:K347)+1,""))</f>
      </c>
    </row>
    <row r="349">
      <c r="G349" s="9">
        <f>IF(B349="","",D349+E349)</f>
      </c>
      <c r="H349" s="10">
        <f>IF(B349="","",ROUND(G349/60,2))</f>
      </c>
      <c r="I349" s="11">
        <f>IF(B349="","",C349-F349)</f>
      </c>
      <c r="J349" s="11">
        <f>IF(OR(B349="",G349=0),"",ROUND(I349/H349,2))</f>
      </c>
      <c r="K349" s="9">
        <f>IF(B349="","",IF(COUNTIF($B$2:B349,B349)=1,MAX($K$1:K348)+1,""))</f>
      </c>
    </row>
    <row r="350">
      <c r="G350" s="9">
        <f>IF(B350="","",D350+E350)</f>
      </c>
      <c r="H350" s="10">
        <f>IF(B350="","",ROUND(G350/60,2))</f>
      </c>
      <c r="I350" s="11">
        <f>IF(B350="","",C350-F350)</f>
      </c>
      <c r="J350" s="11">
        <f>IF(OR(B350="",G350=0),"",ROUND(I350/H350,2))</f>
      </c>
      <c r="K350" s="9">
        <f>IF(B350="","",IF(COUNTIF($B$2:B350,B350)=1,MAX($K$1:K349)+1,""))</f>
      </c>
    </row>
    <row r="351">
      <c r="G351" s="9">
        <f>IF(B351="","",D351+E351)</f>
      </c>
      <c r="H351" s="10">
        <f>IF(B351="","",ROUND(G351/60,2))</f>
      </c>
      <c r="I351" s="11">
        <f>IF(B351="","",C351-F351)</f>
      </c>
      <c r="J351" s="11">
        <f>IF(OR(B351="",G351=0),"",ROUND(I351/H351,2))</f>
      </c>
      <c r="K351" s="9">
        <f>IF(B351="","",IF(COUNTIF($B$2:B351,B351)=1,MAX($K$1:K350)+1,""))</f>
      </c>
    </row>
    <row r="352">
      <c r="G352" s="9">
        <f>IF(B352="","",D352+E352)</f>
      </c>
      <c r="H352" s="10">
        <f>IF(B352="","",ROUND(G352/60,2))</f>
      </c>
      <c r="I352" s="11">
        <f>IF(B352="","",C352-F352)</f>
      </c>
      <c r="J352" s="11">
        <f>IF(OR(B352="",G352=0),"",ROUND(I352/H352,2))</f>
      </c>
      <c r="K352" s="9">
        <f>IF(B352="","",IF(COUNTIF($B$2:B352,B352)=1,MAX($K$1:K351)+1,""))</f>
      </c>
    </row>
    <row r="353">
      <c r="G353" s="9">
        <f>IF(B353="","",D353+E353)</f>
      </c>
      <c r="H353" s="10">
        <f>IF(B353="","",ROUND(G353/60,2))</f>
      </c>
      <c r="I353" s="11">
        <f>IF(B353="","",C353-F353)</f>
      </c>
      <c r="J353" s="11">
        <f>IF(OR(B353="",G353=0),"",ROUND(I353/H353,2))</f>
      </c>
      <c r="K353" s="9">
        <f>IF(B353="","",IF(COUNTIF($B$2:B353,B353)=1,MAX($K$1:K352)+1,""))</f>
      </c>
    </row>
    <row r="354">
      <c r="G354" s="9">
        <f>IF(B354="","",D354+E354)</f>
      </c>
      <c r="H354" s="10">
        <f>IF(B354="","",ROUND(G354/60,2))</f>
      </c>
      <c r="I354" s="11">
        <f>IF(B354="","",C354-F354)</f>
      </c>
      <c r="J354" s="11">
        <f>IF(OR(B354="",G354=0),"",ROUND(I354/H354,2))</f>
      </c>
      <c r="K354" s="9">
        <f>IF(B354="","",IF(COUNTIF($B$2:B354,B354)=1,MAX($K$1:K353)+1,""))</f>
      </c>
    </row>
    <row r="355">
      <c r="G355" s="9">
        <f>IF(B355="","",D355+E355)</f>
      </c>
      <c r="H355" s="10">
        <f>IF(B355="","",ROUND(G355/60,2))</f>
      </c>
      <c r="I355" s="11">
        <f>IF(B355="","",C355-F355)</f>
      </c>
      <c r="J355" s="11">
        <f>IF(OR(B355="",G355=0),"",ROUND(I355/H355,2))</f>
      </c>
      <c r="K355" s="9">
        <f>IF(B355="","",IF(COUNTIF($B$2:B355,B355)=1,MAX($K$1:K354)+1,""))</f>
      </c>
    </row>
    <row r="356">
      <c r="G356" s="9">
        <f>IF(B356="","",D356+E356)</f>
      </c>
      <c r="H356" s="10">
        <f>IF(B356="","",ROUND(G356/60,2))</f>
      </c>
      <c r="I356" s="11">
        <f>IF(B356="","",C356-F356)</f>
      </c>
      <c r="J356" s="11">
        <f>IF(OR(B356="",G356=0),"",ROUND(I356/H356,2))</f>
      </c>
      <c r="K356" s="9">
        <f>IF(B356="","",IF(COUNTIF($B$2:B356,B356)=1,MAX($K$1:K355)+1,""))</f>
      </c>
    </row>
    <row r="357">
      <c r="G357" s="9">
        <f>IF(B357="","",D357+E357)</f>
      </c>
      <c r="H357" s="10">
        <f>IF(B357="","",ROUND(G357/60,2))</f>
      </c>
      <c r="I357" s="11">
        <f>IF(B357="","",C357-F357)</f>
      </c>
      <c r="J357" s="11">
        <f>IF(OR(B357="",G357=0),"",ROUND(I357/H357,2))</f>
      </c>
      <c r="K357" s="9">
        <f>IF(B357="","",IF(COUNTIF($B$2:B357,B357)=1,MAX($K$1:K356)+1,""))</f>
      </c>
    </row>
    <row r="358">
      <c r="G358" s="9">
        <f>IF(B358="","",D358+E358)</f>
      </c>
      <c r="H358" s="10">
        <f>IF(B358="","",ROUND(G358/60,2))</f>
      </c>
      <c r="I358" s="11">
        <f>IF(B358="","",C358-F358)</f>
      </c>
      <c r="J358" s="11">
        <f>IF(OR(B358="",G358=0),"",ROUND(I358/H358,2))</f>
      </c>
      <c r="K358" s="9">
        <f>IF(B358="","",IF(COUNTIF($B$2:B358,B358)=1,MAX($K$1:K357)+1,""))</f>
      </c>
    </row>
    <row r="359">
      <c r="G359" s="9">
        <f>IF(B359="","",D359+E359)</f>
      </c>
      <c r="H359" s="10">
        <f>IF(B359="","",ROUND(G359/60,2))</f>
      </c>
      <c r="I359" s="11">
        <f>IF(B359="","",C359-F359)</f>
      </c>
      <c r="J359" s="11">
        <f>IF(OR(B359="",G359=0),"",ROUND(I359/H359,2))</f>
      </c>
      <c r="K359" s="9">
        <f>IF(B359="","",IF(COUNTIF($B$2:B359,B359)=1,MAX($K$1:K358)+1,""))</f>
      </c>
    </row>
    <row r="360">
      <c r="G360" s="9">
        <f>IF(B360="","",D360+E360)</f>
      </c>
      <c r="H360" s="10">
        <f>IF(B360="","",ROUND(G360/60,2))</f>
      </c>
      <c r="I360" s="11">
        <f>IF(B360="","",C360-F360)</f>
      </c>
      <c r="J360" s="11">
        <f>IF(OR(B360="",G360=0),"",ROUND(I360/H360,2))</f>
      </c>
      <c r="K360" s="9">
        <f>IF(B360="","",IF(COUNTIF($B$2:B360,B360)=1,MAX($K$1:K359)+1,""))</f>
      </c>
    </row>
    <row r="361">
      <c r="G361" s="9">
        <f>IF(B361="","",D361+E361)</f>
      </c>
      <c r="H361" s="10">
        <f>IF(B361="","",ROUND(G361/60,2))</f>
      </c>
      <c r="I361" s="11">
        <f>IF(B361="","",C361-F361)</f>
      </c>
      <c r="J361" s="11">
        <f>IF(OR(B361="",G361=0),"",ROUND(I361/H361,2))</f>
      </c>
      <c r="K361" s="9">
        <f>IF(B361="","",IF(COUNTIF($B$2:B361,B361)=1,MAX($K$1:K360)+1,""))</f>
      </c>
    </row>
    <row r="362">
      <c r="G362" s="9">
        <f>IF(B362="","",D362+E362)</f>
      </c>
      <c r="H362" s="10">
        <f>IF(B362="","",ROUND(G362/60,2))</f>
      </c>
      <c r="I362" s="11">
        <f>IF(B362="","",C362-F362)</f>
      </c>
      <c r="J362" s="11">
        <f>IF(OR(B362="",G362=0),"",ROUND(I362/H362,2))</f>
      </c>
      <c r="K362" s="9">
        <f>IF(B362="","",IF(COUNTIF($B$2:B362,B362)=1,MAX($K$1:K361)+1,""))</f>
      </c>
    </row>
    <row r="363">
      <c r="G363" s="9">
        <f>IF(B363="","",D363+E363)</f>
      </c>
      <c r="H363" s="10">
        <f>IF(B363="","",ROUND(G363/60,2))</f>
      </c>
      <c r="I363" s="11">
        <f>IF(B363="","",C363-F363)</f>
      </c>
      <c r="J363" s="11">
        <f>IF(OR(B363="",G363=0),"",ROUND(I363/H363,2))</f>
      </c>
      <c r="K363" s="9">
        <f>IF(B363="","",IF(COUNTIF($B$2:B363,B363)=1,MAX($K$1:K362)+1,""))</f>
      </c>
    </row>
    <row r="364">
      <c r="G364" s="9">
        <f>IF(B364="","",D364+E364)</f>
      </c>
      <c r="H364" s="10">
        <f>IF(B364="","",ROUND(G364/60,2))</f>
      </c>
      <c r="I364" s="11">
        <f>IF(B364="","",C364-F364)</f>
      </c>
      <c r="J364" s="11">
        <f>IF(OR(B364="",G364=0),"",ROUND(I364/H364,2))</f>
      </c>
      <c r="K364" s="9">
        <f>IF(B364="","",IF(COUNTIF($B$2:B364,B364)=1,MAX($K$1:K363)+1,""))</f>
      </c>
    </row>
    <row r="365">
      <c r="G365" s="9">
        <f>IF(B365="","",D365+E365)</f>
      </c>
      <c r="H365" s="10">
        <f>IF(B365="","",ROUND(G365/60,2))</f>
      </c>
      <c r="I365" s="11">
        <f>IF(B365="","",C365-F365)</f>
      </c>
      <c r="J365" s="11">
        <f>IF(OR(B365="",G365=0),"",ROUND(I365/H365,2))</f>
      </c>
      <c r="K365" s="9">
        <f>IF(B365="","",IF(COUNTIF($B$2:B365,B365)=1,MAX($K$1:K364)+1,""))</f>
      </c>
    </row>
    <row r="366">
      <c r="G366" s="9">
        <f>IF(B366="","",D366+E366)</f>
      </c>
      <c r="H366" s="10">
        <f>IF(B366="","",ROUND(G366/60,2))</f>
      </c>
      <c r="I366" s="11">
        <f>IF(B366="","",C366-F366)</f>
      </c>
      <c r="J366" s="11">
        <f>IF(OR(B366="",G366=0),"",ROUND(I366/H366,2))</f>
      </c>
      <c r="K366" s="9">
        <f>IF(B366="","",IF(COUNTIF($B$2:B366,B366)=1,MAX($K$1:K365)+1,""))</f>
      </c>
    </row>
    <row r="367">
      <c r="G367" s="9">
        <f>IF(B367="","",D367+E367)</f>
      </c>
      <c r="H367" s="10">
        <f>IF(B367="","",ROUND(G367/60,2))</f>
      </c>
      <c r="I367" s="11">
        <f>IF(B367="","",C367-F367)</f>
      </c>
      <c r="J367" s="11">
        <f>IF(OR(B367="",G367=0),"",ROUND(I367/H367,2))</f>
      </c>
      <c r="K367" s="9">
        <f>IF(B367="","",IF(COUNTIF($B$2:B367,B367)=1,MAX($K$1:K366)+1,""))</f>
      </c>
    </row>
    <row r="368">
      <c r="G368" s="9">
        <f>IF(B368="","",D368+E368)</f>
      </c>
      <c r="H368" s="10">
        <f>IF(B368="","",ROUND(G368/60,2))</f>
      </c>
      <c r="I368" s="11">
        <f>IF(B368="","",C368-F368)</f>
      </c>
      <c r="J368" s="11">
        <f>IF(OR(B368="",G368=0),"",ROUND(I368/H368,2))</f>
      </c>
      <c r="K368" s="9">
        <f>IF(B368="","",IF(COUNTIF($B$2:B368,B368)=1,MAX($K$1:K367)+1,""))</f>
      </c>
    </row>
    <row r="369">
      <c r="G369" s="9">
        <f>IF(B369="","",D369+E369)</f>
      </c>
      <c r="H369" s="10">
        <f>IF(B369="","",ROUND(G369/60,2))</f>
      </c>
      <c r="I369" s="11">
        <f>IF(B369="","",C369-F369)</f>
      </c>
      <c r="J369" s="11">
        <f>IF(OR(B369="",G369=0),"",ROUND(I369/H369,2))</f>
      </c>
      <c r="K369" s="9">
        <f>IF(B369="","",IF(COUNTIF($B$2:B369,B369)=1,MAX($K$1:K368)+1,""))</f>
      </c>
    </row>
    <row r="370">
      <c r="G370" s="9">
        <f>IF(B370="","",D370+E370)</f>
      </c>
      <c r="H370" s="10">
        <f>IF(B370="","",ROUND(G370/60,2))</f>
      </c>
      <c r="I370" s="11">
        <f>IF(B370="","",C370-F370)</f>
      </c>
      <c r="J370" s="11">
        <f>IF(OR(B370="",G370=0),"",ROUND(I370/H370,2))</f>
      </c>
      <c r="K370" s="9">
        <f>IF(B370="","",IF(COUNTIF($B$2:B370,B370)=1,MAX($K$1:K369)+1,""))</f>
      </c>
    </row>
    <row r="371">
      <c r="G371" s="9">
        <f>IF(B371="","",D371+E371)</f>
      </c>
      <c r="H371" s="10">
        <f>IF(B371="","",ROUND(G371/60,2))</f>
      </c>
      <c r="I371" s="11">
        <f>IF(B371="","",C371-F371)</f>
      </c>
      <c r="J371" s="11">
        <f>IF(OR(B371="",G371=0),"",ROUND(I371/H371,2))</f>
      </c>
      <c r="K371" s="9">
        <f>IF(B371="","",IF(COUNTIF($B$2:B371,B371)=1,MAX($K$1:K370)+1,""))</f>
      </c>
    </row>
    <row r="372">
      <c r="G372" s="9">
        <f>IF(B372="","",D372+E372)</f>
      </c>
      <c r="H372" s="10">
        <f>IF(B372="","",ROUND(G372/60,2))</f>
      </c>
      <c r="I372" s="11">
        <f>IF(B372="","",C372-F372)</f>
      </c>
      <c r="J372" s="11">
        <f>IF(OR(B372="",G372=0),"",ROUND(I372/H372,2))</f>
      </c>
      <c r="K372" s="9">
        <f>IF(B372="","",IF(COUNTIF($B$2:B372,B372)=1,MAX($K$1:K371)+1,""))</f>
      </c>
    </row>
    <row r="373">
      <c r="G373" s="9">
        <f>IF(B373="","",D373+E373)</f>
      </c>
      <c r="H373" s="10">
        <f>IF(B373="","",ROUND(G373/60,2))</f>
      </c>
      <c r="I373" s="11">
        <f>IF(B373="","",C373-F373)</f>
      </c>
      <c r="J373" s="11">
        <f>IF(OR(B373="",G373=0),"",ROUND(I373/H373,2))</f>
      </c>
      <c r="K373" s="9">
        <f>IF(B373="","",IF(COUNTIF($B$2:B373,B373)=1,MAX($K$1:K372)+1,""))</f>
      </c>
    </row>
    <row r="374">
      <c r="G374" s="9">
        <f>IF(B374="","",D374+E374)</f>
      </c>
      <c r="H374" s="10">
        <f>IF(B374="","",ROUND(G374/60,2))</f>
      </c>
      <c r="I374" s="11">
        <f>IF(B374="","",C374-F374)</f>
      </c>
      <c r="J374" s="11">
        <f>IF(OR(B374="",G374=0),"",ROUND(I374/H374,2))</f>
      </c>
      <c r="K374" s="9">
        <f>IF(B374="","",IF(COUNTIF($B$2:B374,B374)=1,MAX($K$1:K373)+1,""))</f>
      </c>
    </row>
    <row r="375">
      <c r="G375" s="9">
        <f>IF(B375="","",D375+E375)</f>
      </c>
      <c r="H375" s="10">
        <f>IF(B375="","",ROUND(G375/60,2))</f>
      </c>
      <c r="I375" s="11">
        <f>IF(B375="","",C375-F375)</f>
      </c>
      <c r="J375" s="11">
        <f>IF(OR(B375="",G375=0),"",ROUND(I375/H375,2))</f>
      </c>
      <c r="K375" s="9">
        <f>IF(B375="","",IF(COUNTIF($B$2:B375,B375)=1,MAX($K$1:K374)+1,""))</f>
      </c>
    </row>
    <row r="376">
      <c r="G376" s="9">
        <f>IF(B376="","",D376+E376)</f>
      </c>
      <c r="H376" s="10">
        <f>IF(B376="","",ROUND(G376/60,2))</f>
      </c>
      <c r="I376" s="11">
        <f>IF(B376="","",C376-F376)</f>
      </c>
      <c r="J376" s="11">
        <f>IF(OR(B376="",G376=0),"",ROUND(I376/H376,2))</f>
      </c>
      <c r="K376" s="9">
        <f>IF(B376="","",IF(COUNTIF($B$2:B376,B376)=1,MAX($K$1:K375)+1,""))</f>
      </c>
    </row>
    <row r="377">
      <c r="G377" s="9">
        <f>IF(B377="","",D377+E377)</f>
      </c>
      <c r="H377" s="10">
        <f>IF(B377="","",ROUND(G377/60,2))</f>
      </c>
      <c r="I377" s="11">
        <f>IF(B377="","",C377-F377)</f>
      </c>
      <c r="J377" s="11">
        <f>IF(OR(B377="",G377=0),"",ROUND(I377/H377,2))</f>
      </c>
      <c r="K377" s="9">
        <f>IF(B377="","",IF(COUNTIF($B$2:B377,B377)=1,MAX($K$1:K376)+1,""))</f>
      </c>
    </row>
    <row r="378">
      <c r="G378" s="9">
        <f>IF(B378="","",D378+E378)</f>
      </c>
      <c r="H378" s="10">
        <f>IF(B378="","",ROUND(G378/60,2))</f>
      </c>
      <c r="I378" s="11">
        <f>IF(B378="","",C378-F378)</f>
      </c>
      <c r="J378" s="11">
        <f>IF(OR(B378="",G378=0),"",ROUND(I378/H378,2))</f>
      </c>
      <c r="K378" s="9">
        <f>IF(B378="","",IF(COUNTIF($B$2:B378,B378)=1,MAX($K$1:K377)+1,""))</f>
      </c>
    </row>
    <row r="379">
      <c r="G379" s="9">
        <f>IF(B379="","",D379+E379)</f>
      </c>
      <c r="H379" s="10">
        <f>IF(B379="","",ROUND(G379/60,2))</f>
      </c>
      <c r="I379" s="11">
        <f>IF(B379="","",C379-F379)</f>
      </c>
      <c r="J379" s="11">
        <f>IF(OR(B379="",G379=0),"",ROUND(I379/H379,2))</f>
      </c>
      <c r="K379" s="9">
        <f>IF(B379="","",IF(COUNTIF($B$2:B379,B379)=1,MAX($K$1:K378)+1,""))</f>
      </c>
    </row>
    <row r="380">
      <c r="G380" s="9">
        <f>IF(B380="","",D380+E380)</f>
      </c>
      <c r="H380" s="10">
        <f>IF(B380="","",ROUND(G380/60,2))</f>
      </c>
      <c r="I380" s="11">
        <f>IF(B380="","",C380-F380)</f>
      </c>
      <c r="J380" s="11">
        <f>IF(OR(B380="",G380=0),"",ROUND(I380/H380,2))</f>
      </c>
      <c r="K380" s="9">
        <f>IF(B380="","",IF(COUNTIF($B$2:B380,B380)=1,MAX($K$1:K379)+1,""))</f>
      </c>
    </row>
    <row r="381">
      <c r="G381" s="9">
        <f>IF(B381="","",D381+E381)</f>
      </c>
      <c r="H381" s="10">
        <f>IF(B381="","",ROUND(G381/60,2))</f>
      </c>
      <c r="I381" s="11">
        <f>IF(B381="","",C381-F381)</f>
      </c>
      <c r="J381" s="11">
        <f>IF(OR(B381="",G381=0),"",ROUND(I381/H381,2))</f>
      </c>
      <c r="K381" s="9">
        <f>IF(B381="","",IF(COUNTIF($B$2:B381,B381)=1,MAX($K$1:K380)+1,""))</f>
      </c>
    </row>
    <row r="382">
      <c r="G382" s="9">
        <f>IF(B382="","",D382+E382)</f>
      </c>
      <c r="H382" s="10">
        <f>IF(B382="","",ROUND(G382/60,2))</f>
      </c>
      <c r="I382" s="11">
        <f>IF(B382="","",C382-F382)</f>
      </c>
      <c r="J382" s="11">
        <f>IF(OR(B382="",G382=0),"",ROUND(I382/H382,2))</f>
      </c>
      <c r="K382" s="9">
        <f>IF(B382="","",IF(COUNTIF($B$2:B382,B382)=1,MAX($K$1:K381)+1,""))</f>
      </c>
    </row>
    <row r="383">
      <c r="G383" s="9">
        <f>IF(B383="","",D383+E383)</f>
      </c>
      <c r="H383" s="10">
        <f>IF(B383="","",ROUND(G383/60,2))</f>
      </c>
      <c r="I383" s="11">
        <f>IF(B383="","",C383-F383)</f>
      </c>
      <c r="J383" s="11">
        <f>IF(OR(B383="",G383=0),"",ROUND(I383/H383,2))</f>
      </c>
      <c r="K383" s="9">
        <f>IF(B383="","",IF(COUNTIF($B$2:B383,B383)=1,MAX($K$1:K382)+1,""))</f>
      </c>
    </row>
    <row r="384">
      <c r="G384" s="9">
        <f>IF(B384="","",D384+E384)</f>
      </c>
      <c r="H384" s="10">
        <f>IF(B384="","",ROUND(G384/60,2))</f>
      </c>
      <c r="I384" s="11">
        <f>IF(B384="","",C384-F384)</f>
      </c>
      <c r="J384" s="11">
        <f>IF(OR(B384="",G384=0),"",ROUND(I384/H384,2))</f>
      </c>
      <c r="K384" s="9">
        <f>IF(B384="","",IF(COUNTIF($B$2:B384,B384)=1,MAX($K$1:K383)+1,""))</f>
      </c>
    </row>
    <row r="385">
      <c r="G385" s="9">
        <f>IF(B385="","",D385+E385)</f>
      </c>
      <c r="H385" s="10">
        <f>IF(B385="","",ROUND(G385/60,2))</f>
      </c>
      <c r="I385" s="11">
        <f>IF(B385="","",C385-F385)</f>
      </c>
      <c r="J385" s="11">
        <f>IF(OR(B385="",G385=0),"",ROUND(I385/H385,2))</f>
      </c>
      <c r="K385" s="9">
        <f>IF(B385="","",IF(COUNTIF($B$2:B385,B385)=1,MAX($K$1:K384)+1,""))</f>
      </c>
    </row>
    <row r="386">
      <c r="G386" s="9">
        <f>IF(B386="","",D386+E386)</f>
      </c>
      <c r="H386" s="10">
        <f>IF(B386="","",ROUND(G386/60,2))</f>
      </c>
      <c r="I386" s="11">
        <f>IF(B386="","",C386-F386)</f>
      </c>
      <c r="J386" s="11">
        <f>IF(OR(B386="",G386=0),"",ROUND(I386/H386,2))</f>
      </c>
      <c r="K386" s="9">
        <f>IF(B386="","",IF(COUNTIF($B$2:B386,B386)=1,MAX($K$1:K385)+1,""))</f>
      </c>
    </row>
    <row r="387">
      <c r="G387" s="9">
        <f>IF(B387="","",D387+E387)</f>
      </c>
      <c r="H387" s="10">
        <f>IF(B387="","",ROUND(G387/60,2))</f>
      </c>
      <c r="I387" s="11">
        <f>IF(B387="","",C387-F387)</f>
      </c>
      <c r="J387" s="11">
        <f>IF(OR(B387="",G387=0),"",ROUND(I387/H387,2))</f>
      </c>
      <c r="K387" s="9">
        <f>IF(B387="","",IF(COUNTIF($B$2:B387,B387)=1,MAX($K$1:K386)+1,""))</f>
      </c>
    </row>
    <row r="388">
      <c r="G388" s="9">
        <f>IF(B388="","",D388+E388)</f>
      </c>
      <c r="H388" s="10">
        <f>IF(B388="","",ROUND(G388/60,2))</f>
      </c>
      <c r="I388" s="11">
        <f>IF(B388="","",C388-F388)</f>
      </c>
      <c r="J388" s="11">
        <f>IF(OR(B388="",G388=0),"",ROUND(I388/H388,2))</f>
      </c>
      <c r="K388" s="9">
        <f>IF(B388="","",IF(COUNTIF($B$2:B388,B388)=1,MAX($K$1:K387)+1,""))</f>
      </c>
    </row>
    <row r="389">
      <c r="G389" s="9">
        <f>IF(B389="","",D389+E389)</f>
      </c>
      <c r="H389" s="10">
        <f>IF(B389="","",ROUND(G389/60,2))</f>
      </c>
      <c r="I389" s="11">
        <f>IF(B389="","",C389-F389)</f>
      </c>
      <c r="J389" s="11">
        <f>IF(OR(B389="",G389=0),"",ROUND(I389/H389,2))</f>
      </c>
      <c r="K389" s="9">
        <f>IF(B389="","",IF(COUNTIF($B$2:B389,B389)=1,MAX($K$1:K388)+1,""))</f>
      </c>
    </row>
    <row r="390">
      <c r="G390" s="9">
        <f>IF(B390="","",D390+E390)</f>
      </c>
      <c r="H390" s="10">
        <f>IF(B390="","",ROUND(G390/60,2))</f>
      </c>
      <c r="I390" s="11">
        <f>IF(B390="","",C390-F390)</f>
      </c>
      <c r="J390" s="11">
        <f>IF(OR(B390="",G390=0),"",ROUND(I390/H390,2))</f>
      </c>
      <c r="K390" s="9">
        <f>IF(B390="","",IF(COUNTIF($B$2:B390,B390)=1,MAX($K$1:K389)+1,""))</f>
      </c>
    </row>
    <row r="391">
      <c r="G391" s="9">
        <f>IF(B391="","",D391+E391)</f>
      </c>
      <c r="H391" s="10">
        <f>IF(B391="","",ROUND(G391/60,2))</f>
      </c>
      <c r="I391" s="11">
        <f>IF(B391="","",C391-F391)</f>
      </c>
      <c r="J391" s="11">
        <f>IF(OR(B391="",G391=0),"",ROUND(I391/H391,2))</f>
      </c>
      <c r="K391" s="9">
        <f>IF(B391="","",IF(COUNTIF($B$2:B391,B391)=1,MAX($K$1:K390)+1,""))</f>
      </c>
    </row>
    <row r="392">
      <c r="G392" s="9">
        <f>IF(B392="","",D392+E392)</f>
      </c>
      <c r="H392" s="10">
        <f>IF(B392="","",ROUND(G392/60,2))</f>
      </c>
      <c r="I392" s="11">
        <f>IF(B392="","",C392-F392)</f>
      </c>
      <c r="J392" s="11">
        <f>IF(OR(B392="",G392=0),"",ROUND(I392/H392,2))</f>
      </c>
      <c r="K392" s="9">
        <f>IF(B392="","",IF(COUNTIF($B$2:B392,B392)=1,MAX($K$1:K391)+1,""))</f>
      </c>
    </row>
    <row r="393">
      <c r="G393" s="9">
        <f>IF(B393="","",D393+E393)</f>
      </c>
      <c r="H393" s="10">
        <f>IF(B393="","",ROUND(G393/60,2))</f>
      </c>
      <c r="I393" s="11">
        <f>IF(B393="","",C393-F393)</f>
      </c>
      <c r="J393" s="11">
        <f>IF(OR(B393="",G393=0),"",ROUND(I393/H393,2))</f>
      </c>
      <c r="K393" s="9">
        <f>IF(B393="","",IF(COUNTIF($B$2:B393,B393)=1,MAX($K$1:K392)+1,""))</f>
      </c>
    </row>
    <row r="394">
      <c r="G394" s="9">
        <f>IF(B394="","",D394+E394)</f>
      </c>
      <c r="H394" s="10">
        <f>IF(B394="","",ROUND(G394/60,2))</f>
      </c>
      <c r="I394" s="11">
        <f>IF(B394="","",C394-F394)</f>
      </c>
      <c r="J394" s="11">
        <f>IF(OR(B394="",G394=0),"",ROUND(I394/H394,2))</f>
      </c>
      <c r="K394" s="9">
        <f>IF(B394="","",IF(COUNTIF($B$2:B394,B394)=1,MAX($K$1:K393)+1,""))</f>
      </c>
    </row>
    <row r="395">
      <c r="G395" s="9">
        <f>IF(B395="","",D395+E395)</f>
      </c>
      <c r="H395" s="10">
        <f>IF(B395="","",ROUND(G395/60,2))</f>
      </c>
      <c r="I395" s="11">
        <f>IF(B395="","",C395-F395)</f>
      </c>
      <c r="J395" s="11">
        <f>IF(OR(B395="",G395=0),"",ROUND(I395/H395,2))</f>
      </c>
      <c r="K395" s="9">
        <f>IF(B395="","",IF(COUNTIF($B$2:B395,B395)=1,MAX($K$1:K394)+1,""))</f>
      </c>
    </row>
    <row r="396">
      <c r="G396" s="9">
        <f>IF(B396="","",D396+E396)</f>
      </c>
      <c r="H396" s="10">
        <f>IF(B396="","",ROUND(G396/60,2))</f>
      </c>
      <c r="I396" s="11">
        <f>IF(B396="","",C396-F396)</f>
      </c>
      <c r="J396" s="11">
        <f>IF(OR(B396="",G396=0),"",ROUND(I396/H396,2))</f>
      </c>
      <c r="K396" s="9">
        <f>IF(B396="","",IF(COUNTIF($B$2:B396,B396)=1,MAX($K$1:K395)+1,""))</f>
      </c>
    </row>
    <row r="397">
      <c r="G397" s="9">
        <f>IF(B397="","",D397+E397)</f>
      </c>
      <c r="H397" s="10">
        <f>IF(B397="","",ROUND(G397/60,2))</f>
      </c>
      <c r="I397" s="11">
        <f>IF(B397="","",C397-F397)</f>
      </c>
      <c r="J397" s="11">
        <f>IF(OR(B397="",G397=0),"",ROUND(I397/H397,2))</f>
      </c>
      <c r="K397" s="9">
        <f>IF(B397="","",IF(COUNTIF($B$2:B397,B397)=1,MAX($K$1:K396)+1,""))</f>
      </c>
    </row>
    <row r="398">
      <c r="G398" s="9">
        <f>IF(B398="","",D398+E398)</f>
      </c>
      <c r="H398" s="10">
        <f>IF(B398="","",ROUND(G398/60,2))</f>
      </c>
      <c r="I398" s="11">
        <f>IF(B398="","",C398-F398)</f>
      </c>
      <c r="J398" s="11">
        <f>IF(OR(B398="",G398=0),"",ROUND(I398/H398,2))</f>
      </c>
      <c r="K398" s="9">
        <f>IF(B398="","",IF(COUNTIF($B$2:B398,B398)=1,MAX($K$1:K397)+1,""))</f>
      </c>
    </row>
    <row r="399">
      <c r="G399" s="9">
        <f>IF(B399="","",D399+E399)</f>
      </c>
      <c r="H399" s="10">
        <f>IF(B399="","",ROUND(G399/60,2))</f>
      </c>
      <c r="I399" s="11">
        <f>IF(B399="","",C399-F399)</f>
      </c>
      <c r="J399" s="11">
        <f>IF(OR(B399="",G399=0),"",ROUND(I399/H399,2))</f>
      </c>
      <c r="K399" s="9">
        <f>IF(B399="","",IF(COUNTIF($B$2:B399,B399)=1,MAX($K$1:K398)+1,""))</f>
      </c>
    </row>
    <row r="400">
      <c r="G400" s="9">
        <f>IF(B400="","",D400+E400)</f>
      </c>
      <c r="H400" s="10">
        <f>IF(B400="","",ROUND(G400/60,2))</f>
      </c>
      <c r="I400" s="11">
        <f>IF(B400="","",C400-F400)</f>
      </c>
      <c r="J400" s="11">
        <f>IF(OR(B400="",G400=0),"",ROUND(I400/H400,2))</f>
      </c>
      <c r="K400" s="9">
        <f>IF(B400="","",IF(COUNTIF($B$2:B400,B400)=1,MAX($K$1:K399)+1,""))</f>
      </c>
    </row>
    <row r="401">
      <c r="G401" s="9">
        <f>IF(B401="","",D401+E401)</f>
      </c>
      <c r="H401" s="10">
        <f>IF(B401="","",ROUND(G401/60,2))</f>
      </c>
      <c r="I401" s="11">
        <f>IF(B401="","",C401-F401)</f>
      </c>
      <c r="J401" s="11">
        <f>IF(OR(B401="",G401=0),"",ROUND(I401/H401,2))</f>
      </c>
      <c r="K401" s="9">
        <f>IF(B401="","",IF(COUNTIF($B$2:B401,B401)=1,MAX($K$1:K400)+1,""))</f>
      </c>
    </row>
    <row r="402">
      <c r="G402" s="9">
        <f>IF(B402="","",D402+E402)</f>
      </c>
      <c r="H402" s="10">
        <f>IF(B402="","",ROUND(G402/60,2))</f>
      </c>
      <c r="I402" s="11">
        <f>IF(B402="","",C402-F402)</f>
      </c>
      <c r="J402" s="11">
        <f>IF(OR(B402="",G402=0),"",ROUND(I402/H402,2))</f>
      </c>
      <c r="K402" s="9">
        <f>IF(B402="","",IF(COUNTIF($B$2:B402,B402)=1,MAX($K$1:K401)+1,""))</f>
      </c>
    </row>
    <row r="403">
      <c r="G403" s="9">
        <f>IF(B403="","",D403+E403)</f>
      </c>
      <c r="H403" s="10">
        <f>IF(B403="","",ROUND(G403/60,2))</f>
      </c>
      <c r="I403" s="11">
        <f>IF(B403="","",C403-F403)</f>
      </c>
      <c r="J403" s="11">
        <f>IF(OR(B403="",G403=0),"",ROUND(I403/H403,2))</f>
      </c>
      <c r="K403" s="9">
        <f>IF(B403="","",IF(COUNTIF($B$2:B403,B403)=1,MAX($K$1:K402)+1,""))</f>
      </c>
    </row>
    <row r="404">
      <c r="G404" s="9">
        <f>IF(B404="","",D404+E404)</f>
      </c>
      <c r="H404" s="10">
        <f>IF(B404="","",ROUND(G404/60,2))</f>
      </c>
      <c r="I404" s="11">
        <f>IF(B404="","",C404-F404)</f>
      </c>
      <c r="J404" s="11">
        <f>IF(OR(B404="",G404=0),"",ROUND(I404/H404,2))</f>
      </c>
      <c r="K404" s="9">
        <f>IF(B404="","",IF(COUNTIF($B$2:B404,B404)=1,MAX($K$1:K403)+1,""))</f>
      </c>
    </row>
    <row r="405">
      <c r="G405" s="9">
        <f>IF(B405="","",D405+E405)</f>
      </c>
      <c r="H405" s="10">
        <f>IF(B405="","",ROUND(G405/60,2))</f>
      </c>
      <c r="I405" s="11">
        <f>IF(B405="","",C405-F405)</f>
      </c>
      <c r="J405" s="11">
        <f>IF(OR(B405="",G405=0),"",ROUND(I405/H405,2))</f>
      </c>
      <c r="K405" s="9">
        <f>IF(B405="","",IF(COUNTIF($B$2:B405,B405)=1,MAX($K$1:K404)+1,""))</f>
      </c>
    </row>
    <row r="406">
      <c r="G406" s="9">
        <f>IF(B406="","",D406+E406)</f>
      </c>
      <c r="H406" s="10">
        <f>IF(B406="","",ROUND(G406/60,2))</f>
      </c>
      <c r="I406" s="11">
        <f>IF(B406="","",C406-F406)</f>
      </c>
      <c r="J406" s="11">
        <f>IF(OR(B406="",G406=0),"",ROUND(I406/H406,2))</f>
      </c>
      <c r="K406" s="9">
        <f>IF(B406="","",IF(COUNTIF($B$2:B406,B406)=1,MAX($K$1:K405)+1,""))</f>
      </c>
    </row>
    <row r="407">
      <c r="G407" s="9">
        <f>IF(B407="","",D407+E407)</f>
      </c>
      <c r="H407" s="10">
        <f>IF(B407="","",ROUND(G407/60,2))</f>
      </c>
      <c r="I407" s="11">
        <f>IF(B407="","",C407-F407)</f>
      </c>
      <c r="J407" s="11">
        <f>IF(OR(B407="",G407=0),"",ROUND(I407/H407,2))</f>
      </c>
      <c r="K407" s="9">
        <f>IF(B407="","",IF(COUNTIF($B$2:B407,B407)=1,MAX($K$1:K406)+1,""))</f>
      </c>
    </row>
    <row r="408">
      <c r="G408" s="9">
        <f>IF(B408="","",D408+E408)</f>
      </c>
      <c r="H408" s="10">
        <f>IF(B408="","",ROUND(G408/60,2))</f>
      </c>
      <c r="I408" s="11">
        <f>IF(B408="","",C408-F408)</f>
      </c>
      <c r="J408" s="11">
        <f>IF(OR(B408="",G408=0),"",ROUND(I408/H408,2))</f>
      </c>
      <c r="K408" s="9">
        <f>IF(B408="","",IF(COUNTIF($B$2:B408,B408)=1,MAX($K$1:K407)+1,""))</f>
      </c>
    </row>
    <row r="409">
      <c r="G409" s="9">
        <f>IF(B409="","",D409+E409)</f>
      </c>
      <c r="H409" s="10">
        <f>IF(B409="","",ROUND(G409/60,2))</f>
      </c>
      <c r="I409" s="11">
        <f>IF(B409="","",C409-F409)</f>
      </c>
      <c r="J409" s="11">
        <f>IF(OR(B409="",G409=0),"",ROUND(I409/H409,2))</f>
      </c>
      <c r="K409" s="9">
        <f>IF(B409="","",IF(COUNTIF($B$2:B409,B409)=1,MAX($K$1:K408)+1,""))</f>
      </c>
    </row>
    <row r="410">
      <c r="G410" s="9">
        <f>IF(B410="","",D410+E410)</f>
      </c>
      <c r="H410" s="10">
        <f>IF(B410="","",ROUND(G410/60,2))</f>
      </c>
      <c r="I410" s="11">
        <f>IF(B410="","",C410-F410)</f>
      </c>
      <c r="J410" s="11">
        <f>IF(OR(B410="",G410=0),"",ROUND(I410/H410,2))</f>
      </c>
      <c r="K410" s="9">
        <f>IF(B410="","",IF(COUNTIF($B$2:B410,B410)=1,MAX($K$1:K409)+1,""))</f>
      </c>
    </row>
    <row r="411">
      <c r="G411" s="9">
        <f>IF(B411="","",D411+E411)</f>
      </c>
      <c r="H411" s="10">
        <f>IF(B411="","",ROUND(G411/60,2))</f>
      </c>
      <c r="I411" s="11">
        <f>IF(B411="","",C411-F411)</f>
      </c>
      <c r="J411" s="11">
        <f>IF(OR(B411="",G411=0),"",ROUND(I411/H411,2))</f>
      </c>
      <c r="K411" s="9">
        <f>IF(B411="","",IF(COUNTIF($B$2:B411,B411)=1,MAX($K$1:K410)+1,""))</f>
      </c>
    </row>
    <row r="412">
      <c r="G412" s="9">
        <f>IF(B412="","",D412+E412)</f>
      </c>
      <c r="H412" s="10">
        <f>IF(B412="","",ROUND(G412/60,2))</f>
      </c>
      <c r="I412" s="11">
        <f>IF(B412="","",C412-F412)</f>
      </c>
      <c r="J412" s="11">
        <f>IF(OR(B412="",G412=0),"",ROUND(I412/H412,2))</f>
      </c>
      <c r="K412" s="9">
        <f>IF(B412="","",IF(COUNTIF($B$2:B412,B412)=1,MAX($K$1:K411)+1,""))</f>
      </c>
    </row>
    <row r="413">
      <c r="G413" s="9">
        <f>IF(B413="","",D413+E413)</f>
      </c>
      <c r="H413" s="10">
        <f>IF(B413="","",ROUND(G413/60,2))</f>
      </c>
      <c r="I413" s="11">
        <f>IF(B413="","",C413-F413)</f>
      </c>
      <c r="J413" s="11">
        <f>IF(OR(B413="",G413=0),"",ROUND(I413/H413,2))</f>
      </c>
      <c r="K413" s="9">
        <f>IF(B413="","",IF(COUNTIF($B$2:B413,B413)=1,MAX($K$1:K412)+1,""))</f>
      </c>
    </row>
    <row r="414">
      <c r="G414" s="9">
        <f>IF(B414="","",D414+E414)</f>
      </c>
      <c r="H414" s="10">
        <f>IF(B414="","",ROUND(G414/60,2))</f>
      </c>
      <c r="I414" s="11">
        <f>IF(B414="","",C414-F414)</f>
      </c>
      <c r="J414" s="11">
        <f>IF(OR(B414="",G414=0),"",ROUND(I414/H414,2))</f>
      </c>
      <c r="K414" s="9">
        <f>IF(B414="","",IF(COUNTIF($B$2:B414,B414)=1,MAX($K$1:K413)+1,""))</f>
      </c>
    </row>
    <row r="415">
      <c r="G415" s="9">
        <f>IF(B415="","",D415+E415)</f>
      </c>
      <c r="H415" s="10">
        <f>IF(B415="","",ROUND(G415/60,2))</f>
      </c>
      <c r="I415" s="11">
        <f>IF(B415="","",C415-F415)</f>
      </c>
      <c r="J415" s="11">
        <f>IF(OR(B415="",G415=0),"",ROUND(I415/H415,2))</f>
      </c>
      <c r="K415" s="9">
        <f>IF(B415="","",IF(COUNTIF($B$2:B415,B415)=1,MAX($K$1:K414)+1,""))</f>
      </c>
    </row>
    <row r="416">
      <c r="G416" s="9">
        <f>IF(B416="","",D416+E416)</f>
      </c>
      <c r="H416" s="10">
        <f>IF(B416="","",ROUND(G416/60,2))</f>
      </c>
      <c r="I416" s="11">
        <f>IF(B416="","",C416-F416)</f>
      </c>
      <c r="J416" s="11">
        <f>IF(OR(B416="",G416=0),"",ROUND(I416/H416,2))</f>
      </c>
      <c r="K416" s="9">
        <f>IF(B416="","",IF(COUNTIF($B$2:B416,B416)=1,MAX($K$1:K415)+1,""))</f>
      </c>
    </row>
    <row r="417">
      <c r="G417" s="9">
        <f>IF(B417="","",D417+E417)</f>
      </c>
      <c r="H417" s="10">
        <f>IF(B417="","",ROUND(G417/60,2))</f>
      </c>
      <c r="I417" s="11">
        <f>IF(B417="","",C417-F417)</f>
      </c>
      <c r="J417" s="11">
        <f>IF(OR(B417="",G417=0),"",ROUND(I417/H417,2))</f>
      </c>
      <c r="K417" s="9">
        <f>IF(B417="","",IF(COUNTIF($B$2:B417,B417)=1,MAX($K$1:K416)+1,""))</f>
      </c>
    </row>
    <row r="418">
      <c r="G418" s="9">
        <f>IF(B418="","",D418+E418)</f>
      </c>
      <c r="H418" s="10">
        <f>IF(B418="","",ROUND(G418/60,2))</f>
      </c>
      <c r="I418" s="11">
        <f>IF(B418="","",C418-F418)</f>
      </c>
      <c r="J418" s="11">
        <f>IF(OR(B418="",G418=0),"",ROUND(I418/H418,2))</f>
      </c>
      <c r="K418" s="9">
        <f>IF(B418="","",IF(COUNTIF($B$2:B418,B418)=1,MAX($K$1:K417)+1,""))</f>
      </c>
    </row>
    <row r="419">
      <c r="G419" s="9">
        <f>IF(B419="","",D419+E419)</f>
      </c>
      <c r="H419" s="10">
        <f>IF(B419="","",ROUND(G419/60,2))</f>
      </c>
      <c r="I419" s="11">
        <f>IF(B419="","",C419-F419)</f>
      </c>
      <c r="J419" s="11">
        <f>IF(OR(B419="",G419=0),"",ROUND(I419/H419,2))</f>
      </c>
      <c r="K419" s="9">
        <f>IF(B419="","",IF(COUNTIF($B$2:B419,B419)=1,MAX($K$1:K418)+1,""))</f>
      </c>
    </row>
    <row r="420">
      <c r="G420" s="9">
        <f>IF(B420="","",D420+E420)</f>
      </c>
      <c r="H420" s="10">
        <f>IF(B420="","",ROUND(G420/60,2))</f>
      </c>
      <c r="I420" s="11">
        <f>IF(B420="","",C420-F420)</f>
      </c>
      <c r="J420" s="11">
        <f>IF(OR(B420="",G420=0),"",ROUND(I420/H420,2))</f>
      </c>
      <c r="K420" s="9">
        <f>IF(B420="","",IF(COUNTIF($B$2:B420,B420)=1,MAX($K$1:K419)+1,""))</f>
      </c>
    </row>
    <row r="421">
      <c r="G421" s="9">
        <f>IF(B421="","",D421+E421)</f>
      </c>
      <c r="H421" s="10">
        <f>IF(B421="","",ROUND(G421/60,2))</f>
      </c>
      <c r="I421" s="11">
        <f>IF(B421="","",C421-F421)</f>
      </c>
      <c r="J421" s="11">
        <f>IF(OR(B421="",G421=0),"",ROUND(I421/H421,2))</f>
      </c>
      <c r="K421" s="9">
        <f>IF(B421="","",IF(COUNTIF($B$2:B421,B421)=1,MAX($K$1:K420)+1,""))</f>
      </c>
    </row>
    <row r="422">
      <c r="G422" s="9">
        <f>IF(B422="","",D422+E422)</f>
      </c>
      <c r="H422" s="10">
        <f>IF(B422="","",ROUND(G422/60,2))</f>
      </c>
      <c r="I422" s="11">
        <f>IF(B422="","",C422-F422)</f>
      </c>
      <c r="J422" s="11">
        <f>IF(OR(B422="",G422=0),"",ROUND(I422/H422,2))</f>
      </c>
      <c r="K422" s="9">
        <f>IF(B422="","",IF(COUNTIF($B$2:B422,B422)=1,MAX($K$1:K421)+1,""))</f>
      </c>
    </row>
    <row r="423">
      <c r="G423" s="9">
        <f>IF(B423="","",D423+E423)</f>
      </c>
      <c r="H423" s="10">
        <f>IF(B423="","",ROUND(G423/60,2))</f>
      </c>
      <c r="I423" s="11">
        <f>IF(B423="","",C423-F423)</f>
      </c>
      <c r="J423" s="11">
        <f>IF(OR(B423="",G423=0),"",ROUND(I423/H423,2))</f>
      </c>
      <c r="K423" s="9">
        <f>IF(B423="","",IF(COUNTIF($B$2:B423,B423)=1,MAX($K$1:K422)+1,""))</f>
      </c>
    </row>
    <row r="424">
      <c r="G424" s="9">
        <f>IF(B424="","",D424+E424)</f>
      </c>
      <c r="H424" s="10">
        <f>IF(B424="","",ROUND(G424/60,2))</f>
      </c>
      <c r="I424" s="11">
        <f>IF(B424="","",C424-F424)</f>
      </c>
      <c r="J424" s="11">
        <f>IF(OR(B424="",G424=0),"",ROUND(I424/H424,2))</f>
      </c>
      <c r="K424" s="9">
        <f>IF(B424="","",IF(COUNTIF($B$2:B424,B424)=1,MAX($K$1:K423)+1,""))</f>
      </c>
    </row>
    <row r="425">
      <c r="G425" s="9">
        <f>IF(B425="","",D425+E425)</f>
      </c>
      <c r="H425" s="10">
        <f>IF(B425="","",ROUND(G425/60,2))</f>
      </c>
      <c r="I425" s="11">
        <f>IF(B425="","",C425-F425)</f>
      </c>
      <c r="J425" s="11">
        <f>IF(OR(B425="",G425=0),"",ROUND(I425/H425,2))</f>
      </c>
      <c r="K425" s="9">
        <f>IF(B425="","",IF(COUNTIF($B$2:B425,B425)=1,MAX($K$1:K424)+1,""))</f>
      </c>
    </row>
    <row r="426">
      <c r="G426" s="9">
        <f>IF(B426="","",D426+E426)</f>
      </c>
      <c r="H426" s="10">
        <f>IF(B426="","",ROUND(G426/60,2))</f>
      </c>
      <c r="I426" s="11">
        <f>IF(B426="","",C426-F426)</f>
      </c>
      <c r="J426" s="11">
        <f>IF(OR(B426="",G426=0),"",ROUND(I426/H426,2))</f>
      </c>
      <c r="K426" s="9">
        <f>IF(B426="","",IF(COUNTIF($B$2:B426,B426)=1,MAX($K$1:K425)+1,""))</f>
      </c>
    </row>
    <row r="427">
      <c r="G427" s="9">
        <f>IF(B427="","",D427+E427)</f>
      </c>
      <c r="H427" s="10">
        <f>IF(B427="","",ROUND(G427/60,2))</f>
      </c>
      <c r="I427" s="11">
        <f>IF(B427="","",C427-F427)</f>
      </c>
      <c r="J427" s="11">
        <f>IF(OR(B427="",G427=0),"",ROUND(I427/H427,2))</f>
      </c>
      <c r="K427" s="9">
        <f>IF(B427="","",IF(COUNTIF($B$2:B427,B427)=1,MAX($K$1:K426)+1,""))</f>
      </c>
    </row>
    <row r="428">
      <c r="G428" s="9">
        <f>IF(B428="","",D428+E428)</f>
      </c>
      <c r="H428" s="10">
        <f>IF(B428="","",ROUND(G428/60,2))</f>
      </c>
      <c r="I428" s="11">
        <f>IF(B428="","",C428-F428)</f>
      </c>
      <c r="J428" s="11">
        <f>IF(OR(B428="",G428=0),"",ROUND(I428/H428,2))</f>
      </c>
      <c r="K428" s="9">
        <f>IF(B428="","",IF(COUNTIF($B$2:B428,B428)=1,MAX($K$1:K427)+1,""))</f>
      </c>
    </row>
    <row r="429">
      <c r="G429" s="9">
        <f>IF(B429="","",D429+E429)</f>
      </c>
      <c r="H429" s="10">
        <f>IF(B429="","",ROUND(G429/60,2))</f>
      </c>
      <c r="I429" s="11">
        <f>IF(B429="","",C429-F429)</f>
      </c>
      <c r="J429" s="11">
        <f>IF(OR(B429="",G429=0),"",ROUND(I429/H429,2))</f>
      </c>
      <c r="K429" s="9">
        <f>IF(B429="","",IF(COUNTIF($B$2:B429,B429)=1,MAX($K$1:K428)+1,""))</f>
      </c>
    </row>
    <row r="430">
      <c r="G430" s="9">
        <f>IF(B430="","",D430+E430)</f>
      </c>
      <c r="H430" s="10">
        <f>IF(B430="","",ROUND(G430/60,2))</f>
      </c>
      <c r="I430" s="11">
        <f>IF(B430="","",C430-F430)</f>
      </c>
      <c r="J430" s="11">
        <f>IF(OR(B430="",G430=0),"",ROUND(I430/H430,2))</f>
      </c>
      <c r="K430" s="9">
        <f>IF(B430="","",IF(COUNTIF($B$2:B430,B430)=1,MAX($K$1:K429)+1,""))</f>
      </c>
    </row>
    <row r="431">
      <c r="G431" s="9">
        <f>IF(B431="","",D431+E431)</f>
      </c>
      <c r="H431" s="10">
        <f>IF(B431="","",ROUND(G431/60,2))</f>
      </c>
      <c r="I431" s="11">
        <f>IF(B431="","",C431-F431)</f>
      </c>
      <c r="J431" s="11">
        <f>IF(OR(B431="",G431=0),"",ROUND(I431/H431,2))</f>
      </c>
      <c r="K431" s="9">
        <f>IF(B431="","",IF(COUNTIF($B$2:B431,B431)=1,MAX($K$1:K430)+1,""))</f>
      </c>
    </row>
    <row r="432">
      <c r="G432" s="9">
        <f>IF(B432="","",D432+E432)</f>
      </c>
      <c r="H432" s="10">
        <f>IF(B432="","",ROUND(G432/60,2))</f>
      </c>
      <c r="I432" s="11">
        <f>IF(B432="","",C432-F432)</f>
      </c>
      <c r="J432" s="11">
        <f>IF(OR(B432="",G432=0),"",ROUND(I432/H432,2))</f>
      </c>
      <c r="K432" s="9">
        <f>IF(B432="","",IF(COUNTIF($B$2:B432,B432)=1,MAX($K$1:K431)+1,""))</f>
      </c>
    </row>
    <row r="433">
      <c r="G433" s="9">
        <f>IF(B433="","",D433+E433)</f>
      </c>
      <c r="H433" s="10">
        <f>IF(B433="","",ROUND(G433/60,2))</f>
      </c>
      <c r="I433" s="11">
        <f>IF(B433="","",C433-F433)</f>
      </c>
      <c r="J433" s="11">
        <f>IF(OR(B433="",G433=0),"",ROUND(I433/H433,2))</f>
      </c>
      <c r="K433" s="9">
        <f>IF(B433="","",IF(COUNTIF($B$2:B433,B433)=1,MAX($K$1:K432)+1,""))</f>
      </c>
    </row>
    <row r="434">
      <c r="G434" s="9">
        <f>IF(B434="","",D434+E434)</f>
      </c>
      <c r="H434" s="10">
        <f>IF(B434="","",ROUND(G434/60,2))</f>
      </c>
      <c r="I434" s="11">
        <f>IF(B434="","",C434-F434)</f>
      </c>
      <c r="J434" s="11">
        <f>IF(OR(B434="",G434=0),"",ROUND(I434/H434,2))</f>
      </c>
      <c r="K434" s="9">
        <f>IF(B434="","",IF(COUNTIF($B$2:B434,B434)=1,MAX($K$1:K433)+1,""))</f>
      </c>
    </row>
    <row r="435">
      <c r="G435" s="9">
        <f>IF(B435="","",D435+E435)</f>
      </c>
      <c r="H435" s="10">
        <f>IF(B435="","",ROUND(G435/60,2))</f>
      </c>
      <c r="I435" s="11">
        <f>IF(B435="","",C435-F435)</f>
      </c>
      <c r="J435" s="11">
        <f>IF(OR(B435="",G435=0),"",ROUND(I435/H435,2))</f>
      </c>
      <c r="K435" s="9">
        <f>IF(B435="","",IF(COUNTIF($B$2:B435,B435)=1,MAX($K$1:K434)+1,""))</f>
      </c>
    </row>
    <row r="436">
      <c r="G436" s="9">
        <f>IF(B436="","",D436+E436)</f>
      </c>
      <c r="H436" s="10">
        <f>IF(B436="","",ROUND(G436/60,2))</f>
      </c>
      <c r="I436" s="11">
        <f>IF(B436="","",C436-F436)</f>
      </c>
      <c r="J436" s="11">
        <f>IF(OR(B436="",G436=0),"",ROUND(I436/H436,2))</f>
      </c>
      <c r="K436" s="9">
        <f>IF(B436="","",IF(COUNTIF($B$2:B436,B436)=1,MAX($K$1:K435)+1,""))</f>
      </c>
    </row>
    <row r="437">
      <c r="G437" s="9">
        <f>IF(B437="","",D437+E437)</f>
      </c>
      <c r="H437" s="10">
        <f>IF(B437="","",ROUND(G437/60,2))</f>
      </c>
      <c r="I437" s="11">
        <f>IF(B437="","",C437-F437)</f>
      </c>
      <c r="J437" s="11">
        <f>IF(OR(B437="",G437=0),"",ROUND(I437/H437,2))</f>
      </c>
      <c r="K437" s="9">
        <f>IF(B437="","",IF(COUNTIF($B$2:B437,B437)=1,MAX($K$1:K436)+1,""))</f>
      </c>
    </row>
    <row r="438">
      <c r="G438" s="9">
        <f>IF(B438="","",D438+E438)</f>
      </c>
      <c r="H438" s="10">
        <f>IF(B438="","",ROUND(G438/60,2))</f>
      </c>
      <c r="I438" s="11">
        <f>IF(B438="","",C438-F438)</f>
      </c>
      <c r="J438" s="11">
        <f>IF(OR(B438="",G438=0),"",ROUND(I438/H438,2))</f>
      </c>
      <c r="K438" s="9">
        <f>IF(B438="","",IF(COUNTIF($B$2:B438,B438)=1,MAX($K$1:K437)+1,""))</f>
      </c>
    </row>
    <row r="439">
      <c r="G439" s="9">
        <f>IF(B439="","",D439+E439)</f>
      </c>
      <c r="H439" s="10">
        <f>IF(B439="","",ROUND(G439/60,2))</f>
      </c>
      <c r="I439" s="11">
        <f>IF(B439="","",C439-F439)</f>
      </c>
      <c r="J439" s="11">
        <f>IF(OR(B439="",G439=0),"",ROUND(I439/H439,2))</f>
      </c>
      <c r="K439" s="9">
        <f>IF(B439="","",IF(COUNTIF($B$2:B439,B439)=1,MAX($K$1:K438)+1,""))</f>
      </c>
    </row>
    <row r="440">
      <c r="G440" s="9">
        <f>IF(B440="","",D440+E440)</f>
      </c>
      <c r="H440" s="10">
        <f>IF(B440="","",ROUND(G440/60,2))</f>
      </c>
      <c r="I440" s="11">
        <f>IF(B440="","",C440-F440)</f>
      </c>
      <c r="J440" s="11">
        <f>IF(OR(B440="",G440=0),"",ROUND(I440/H440,2))</f>
      </c>
      <c r="K440" s="9">
        <f>IF(B440="","",IF(COUNTIF($B$2:B440,B440)=1,MAX($K$1:K439)+1,""))</f>
      </c>
    </row>
    <row r="441">
      <c r="G441" s="9">
        <f>IF(B441="","",D441+E441)</f>
      </c>
      <c r="H441" s="10">
        <f>IF(B441="","",ROUND(G441/60,2))</f>
      </c>
      <c r="I441" s="11">
        <f>IF(B441="","",C441-F441)</f>
      </c>
      <c r="J441" s="11">
        <f>IF(OR(B441="",G441=0),"",ROUND(I441/H441,2))</f>
      </c>
      <c r="K441" s="9">
        <f>IF(B441="","",IF(COUNTIF($B$2:B441,B441)=1,MAX($K$1:K440)+1,""))</f>
      </c>
    </row>
    <row r="442">
      <c r="G442" s="9">
        <f>IF(B442="","",D442+E442)</f>
      </c>
      <c r="H442" s="10">
        <f>IF(B442="","",ROUND(G442/60,2))</f>
      </c>
      <c r="I442" s="11">
        <f>IF(B442="","",C442-F442)</f>
      </c>
      <c r="J442" s="11">
        <f>IF(OR(B442="",G442=0),"",ROUND(I442/H442,2))</f>
      </c>
      <c r="K442" s="9">
        <f>IF(B442="","",IF(COUNTIF($B$2:B442,B442)=1,MAX($K$1:K441)+1,""))</f>
      </c>
    </row>
    <row r="443">
      <c r="G443" s="9">
        <f>IF(B443="","",D443+E443)</f>
      </c>
      <c r="H443" s="10">
        <f>IF(B443="","",ROUND(G443/60,2))</f>
      </c>
      <c r="I443" s="11">
        <f>IF(B443="","",C443-F443)</f>
      </c>
      <c r="J443" s="11">
        <f>IF(OR(B443="",G443=0),"",ROUND(I443/H443,2))</f>
      </c>
      <c r="K443" s="9">
        <f>IF(B443="","",IF(COUNTIF($B$2:B443,B443)=1,MAX($K$1:K442)+1,""))</f>
      </c>
    </row>
    <row r="444">
      <c r="G444" s="9">
        <f>IF(B444="","",D444+E444)</f>
      </c>
      <c r="H444" s="10">
        <f>IF(B444="","",ROUND(G444/60,2))</f>
      </c>
      <c r="I444" s="11">
        <f>IF(B444="","",C444-F444)</f>
      </c>
      <c r="J444" s="11">
        <f>IF(OR(B444="",G444=0),"",ROUND(I444/H444,2))</f>
      </c>
      <c r="K444" s="9">
        <f>IF(B444="","",IF(COUNTIF($B$2:B444,B444)=1,MAX($K$1:K443)+1,""))</f>
      </c>
    </row>
    <row r="445">
      <c r="G445" s="9">
        <f>IF(B445="","",D445+E445)</f>
      </c>
      <c r="H445" s="10">
        <f>IF(B445="","",ROUND(G445/60,2))</f>
      </c>
      <c r="I445" s="11">
        <f>IF(B445="","",C445-F445)</f>
      </c>
      <c r="J445" s="11">
        <f>IF(OR(B445="",G445=0),"",ROUND(I445/H445,2))</f>
      </c>
      <c r="K445" s="9">
        <f>IF(B445="","",IF(COUNTIF($B$2:B445,B445)=1,MAX($K$1:K444)+1,""))</f>
      </c>
    </row>
    <row r="446">
      <c r="G446" s="9">
        <f>IF(B446="","",D446+E446)</f>
      </c>
      <c r="H446" s="10">
        <f>IF(B446="","",ROUND(G446/60,2))</f>
      </c>
      <c r="I446" s="11">
        <f>IF(B446="","",C446-F446)</f>
      </c>
      <c r="J446" s="11">
        <f>IF(OR(B446="",G446=0),"",ROUND(I446/H446,2))</f>
      </c>
      <c r="K446" s="9">
        <f>IF(B446="","",IF(COUNTIF($B$2:B446,B446)=1,MAX($K$1:K445)+1,""))</f>
      </c>
    </row>
    <row r="447">
      <c r="G447" s="9">
        <f>IF(B447="","",D447+E447)</f>
      </c>
      <c r="H447" s="10">
        <f>IF(B447="","",ROUND(G447/60,2))</f>
      </c>
      <c r="I447" s="11">
        <f>IF(B447="","",C447-F447)</f>
      </c>
      <c r="J447" s="11">
        <f>IF(OR(B447="",G447=0),"",ROUND(I447/H447,2))</f>
      </c>
      <c r="K447" s="9">
        <f>IF(B447="","",IF(COUNTIF($B$2:B447,B447)=1,MAX($K$1:K446)+1,""))</f>
      </c>
    </row>
    <row r="448">
      <c r="G448" s="9">
        <f>IF(B448="","",D448+E448)</f>
      </c>
      <c r="H448" s="10">
        <f>IF(B448="","",ROUND(G448/60,2))</f>
      </c>
      <c r="I448" s="11">
        <f>IF(B448="","",C448-F448)</f>
      </c>
      <c r="J448" s="11">
        <f>IF(OR(B448="",G448=0),"",ROUND(I448/H448,2))</f>
      </c>
      <c r="K448" s="9">
        <f>IF(B448="","",IF(COUNTIF($B$2:B448,B448)=1,MAX($K$1:K447)+1,""))</f>
      </c>
    </row>
    <row r="449">
      <c r="G449" s="9">
        <f>IF(B449="","",D449+E449)</f>
      </c>
      <c r="H449" s="10">
        <f>IF(B449="","",ROUND(G449/60,2))</f>
      </c>
      <c r="I449" s="11">
        <f>IF(B449="","",C449-F449)</f>
      </c>
      <c r="J449" s="11">
        <f>IF(OR(B449="",G449=0),"",ROUND(I449/H449,2))</f>
      </c>
      <c r="K449" s="9">
        <f>IF(B449="","",IF(COUNTIF($B$2:B449,B449)=1,MAX($K$1:K448)+1,""))</f>
      </c>
    </row>
    <row r="450">
      <c r="G450" s="9">
        <f>IF(B450="","",D450+E450)</f>
      </c>
      <c r="H450" s="10">
        <f>IF(B450="","",ROUND(G450/60,2))</f>
      </c>
      <c r="I450" s="11">
        <f>IF(B450="","",C450-F450)</f>
      </c>
      <c r="J450" s="11">
        <f>IF(OR(B450="",G450=0),"",ROUND(I450/H450,2))</f>
      </c>
      <c r="K450" s="9">
        <f>IF(B450="","",IF(COUNTIF($B$2:B450,B450)=1,MAX($K$1:K449)+1,""))</f>
      </c>
    </row>
    <row r="451">
      <c r="G451" s="9">
        <f>IF(B451="","",D451+E451)</f>
      </c>
      <c r="H451" s="10">
        <f>IF(B451="","",ROUND(G451/60,2))</f>
      </c>
      <c r="I451" s="11">
        <f>IF(B451="","",C451-F451)</f>
      </c>
      <c r="J451" s="11">
        <f>IF(OR(B451="",G451=0),"",ROUND(I451/H451,2))</f>
      </c>
      <c r="K451" s="9">
        <f>IF(B451="","",IF(COUNTIF($B$2:B451,B451)=1,MAX($K$1:K450)+1,""))</f>
      </c>
    </row>
    <row r="452">
      <c r="G452" s="9">
        <f>IF(B452="","",D452+E452)</f>
      </c>
      <c r="H452" s="10">
        <f>IF(B452="","",ROUND(G452/60,2))</f>
      </c>
      <c r="I452" s="11">
        <f>IF(B452="","",C452-F452)</f>
      </c>
      <c r="J452" s="11">
        <f>IF(OR(B452="",G452=0),"",ROUND(I452/H452,2))</f>
      </c>
      <c r="K452" s="9">
        <f>IF(B452="","",IF(COUNTIF($B$2:B452,B452)=1,MAX($K$1:K451)+1,""))</f>
      </c>
    </row>
    <row r="453">
      <c r="G453" s="9">
        <f>IF(B453="","",D453+E453)</f>
      </c>
      <c r="H453" s="10">
        <f>IF(B453="","",ROUND(G453/60,2))</f>
      </c>
      <c r="I453" s="11">
        <f>IF(B453="","",C453-F453)</f>
      </c>
      <c r="J453" s="11">
        <f>IF(OR(B453="",G453=0),"",ROUND(I453/H453,2))</f>
      </c>
      <c r="K453" s="9">
        <f>IF(B453="","",IF(COUNTIF($B$2:B453,B453)=1,MAX($K$1:K452)+1,""))</f>
      </c>
    </row>
    <row r="454">
      <c r="G454" s="9">
        <f>IF(B454="","",D454+E454)</f>
      </c>
      <c r="H454" s="10">
        <f>IF(B454="","",ROUND(G454/60,2))</f>
      </c>
      <c r="I454" s="11">
        <f>IF(B454="","",C454-F454)</f>
      </c>
      <c r="J454" s="11">
        <f>IF(OR(B454="",G454=0),"",ROUND(I454/H454,2))</f>
      </c>
      <c r="K454" s="9">
        <f>IF(B454="","",IF(COUNTIF($B$2:B454,B454)=1,MAX($K$1:K453)+1,""))</f>
      </c>
    </row>
    <row r="455">
      <c r="G455" s="9">
        <f>IF(B455="","",D455+E455)</f>
      </c>
      <c r="H455" s="10">
        <f>IF(B455="","",ROUND(G455/60,2))</f>
      </c>
      <c r="I455" s="11">
        <f>IF(B455="","",C455-F455)</f>
      </c>
      <c r="J455" s="11">
        <f>IF(OR(B455="",G455=0),"",ROUND(I455/H455,2))</f>
      </c>
      <c r="K455" s="9">
        <f>IF(B455="","",IF(COUNTIF($B$2:B455,B455)=1,MAX($K$1:K454)+1,""))</f>
      </c>
    </row>
    <row r="456">
      <c r="G456" s="9">
        <f>IF(B456="","",D456+E456)</f>
      </c>
      <c r="H456" s="10">
        <f>IF(B456="","",ROUND(G456/60,2))</f>
      </c>
      <c r="I456" s="11">
        <f>IF(B456="","",C456-F456)</f>
      </c>
      <c r="J456" s="11">
        <f>IF(OR(B456="",G456=0),"",ROUND(I456/H456,2))</f>
      </c>
      <c r="K456" s="9">
        <f>IF(B456="","",IF(COUNTIF($B$2:B456,B456)=1,MAX($K$1:K455)+1,""))</f>
      </c>
    </row>
    <row r="457">
      <c r="G457" s="9">
        <f>IF(B457="","",D457+E457)</f>
      </c>
      <c r="H457" s="10">
        <f>IF(B457="","",ROUND(G457/60,2))</f>
      </c>
      <c r="I457" s="11">
        <f>IF(B457="","",C457-F457)</f>
      </c>
      <c r="J457" s="11">
        <f>IF(OR(B457="",G457=0),"",ROUND(I457/H457,2))</f>
      </c>
      <c r="K457" s="9">
        <f>IF(B457="","",IF(COUNTIF($B$2:B457,B457)=1,MAX($K$1:K456)+1,""))</f>
      </c>
    </row>
    <row r="458">
      <c r="G458" s="9">
        <f>IF(B458="","",D458+E458)</f>
      </c>
      <c r="H458" s="10">
        <f>IF(B458="","",ROUND(G458/60,2))</f>
      </c>
      <c r="I458" s="11">
        <f>IF(B458="","",C458-F458)</f>
      </c>
      <c r="J458" s="11">
        <f>IF(OR(B458="",G458=0),"",ROUND(I458/H458,2))</f>
      </c>
      <c r="K458" s="9">
        <f>IF(B458="","",IF(COUNTIF($B$2:B458,B458)=1,MAX($K$1:K457)+1,""))</f>
      </c>
    </row>
    <row r="459">
      <c r="G459" s="9">
        <f>IF(B459="","",D459+E459)</f>
      </c>
      <c r="H459" s="10">
        <f>IF(B459="","",ROUND(G459/60,2))</f>
      </c>
      <c r="I459" s="11">
        <f>IF(B459="","",C459-F459)</f>
      </c>
      <c r="J459" s="11">
        <f>IF(OR(B459="",G459=0),"",ROUND(I459/H459,2))</f>
      </c>
      <c r="K459" s="9">
        <f>IF(B459="","",IF(COUNTIF($B$2:B459,B459)=1,MAX($K$1:K458)+1,""))</f>
      </c>
    </row>
    <row r="460">
      <c r="G460" s="9">
        <f>IF(B460="","",D460+E460)</f>
      </c>
      <c r="H460" s="10">
        <f>IF(B460="","",ROUND(G460/60,2))</f>
      </c>
      <c r="I460" s="11">
        <f>IF(B460="","",C460-F460)</f>
      </c>
      <c r="J460" s="11">
        <f>IF(OR(B460="",G460=0),"",ROUND(I460/H460,2))</f>
      </c>
      <c r="K460" s="9">
        <f>IF(B460="","",IF(COUNTIF($B$2:B460,B460)=1,MAX($K$1:K459)+1,""))</f>
      </c>
    </row>
    <row r="461">
      <c r="G461" s="9">
        <f>IF(B461="","",D461+E461)</f>
      </c>
      <c r="H461" s="10">
        <f>IF(B461="","",ROUND(G461/60,2))</f>
      </c>
      <c r="I461" s="11">
        <f>IF(B461="","",C461-F461)</f>
      </c>
      <c r="J461" s="11">
        <f>IF(OR(B461="",G461=0),"",ROUND(I461/H461,2))</f>
      </c>
      <c r="K461" s="9">
        <f>IF(B461="","",IF(COUNTIF($B$2:B461,B461)=1,MAX($K$1:K460)+1,""))</f>
      </c>
    </row>
    <row r="462">
      <c r="G462" s="9">
        <f>IF(B462="","",D462+E462)</f>
      </c>
      <c r="H462" s="10">
        <f>IF(B462="","",ROUND(G462/60,2))</f>
      </c>
      <c r="I462" s="11">
        <f>IF(B462="","",C462-F462)</f>
      </c>
      <c r="J462" s="11">
        <f>IF(OR(B462="",G462=0),"",ROUND(I462/H462,2))</f>
      </c>
      <c r="K462" s="9">
        <f>IF(B462="","",IF(COUNTIF($B$2:B462,B462)=1,MAX($K$1:K461)+1,""))</f>
      </c>
    </row>
    <row r="463">
      <c r="G463" s="9">
        <f>IF(B463="","",D463+E463)</f>
      </c>
      <c r="H463" s="10">
        <f>IF(B463="","",ROUND(G463/60,2))</f>
      </c>
      <c r="I463" s="11">
        <f>IF(B463="","",C463-F463)</f>
      </c>
      <c r="J463" s="11">
        <f>IF(OR(B463="",G463=0),"",ROUND(I463/H463,2))</f>
      </c>
      <c r="K463" s="9">
        <f>IF(B463="","",IF(COUNTIF($B$2:B463,B463)=1,MAX($K$1:K462)+1,""))</f>
      </c>
    </row>
    <row r="464">
      <c r="G464" s="9">
        <f>IF(B464="","",D464+E464)</f>
      </c>
      <c r="H464" s="10">
        <f>IF(B464="","",ROUND(G464/60,2))</f>
      </c>
      <c r="I464" s="11">
        <f>IF(B464="","",C464-F464)</f>
      </c>
      <c r="J464" s="11">
        <f>IF(OR(B464="",G464=0),"",ROUND(I464/H464,2))</f>
      </c>
      <c r="K464" s="9">
        <f>IF(B464="","",IF(COUNTIF($B$2:B464,B464)=1,MAX($K$1:K463)+1,""))</f>
      </c>
    </row>
    <row r="465">
      <c r="G465" s="9">
        <f>IF(B465="","",D465+E465)</f>
      </c>
      <c r="H465" s="10">
        <f>IF(B465="","",ROUND(G465/60,2))</f>
      </c>
      <c r="I465" s="11">
        <f>IF(B465="","",C465-F465)</f>
      </c>
      <c r="J465" s="11">
        <f>IF(OR(B465="",G465=0),"",ROUND(I465/H465,2))</f>
      </c>
      <c r="K465" s="9">
        <f>IF(B465="","",IF(COUNTIF($B$2:B465,B465)=1,MAX($K$1:K464)+1,""))</f>
      </c>
    </row>
    <row r="466">
      <c r="G466" s="9">
        <f>IF(B466="","",D466+E466)</f>
      </c>
      <c r="H466" s="10">
        <f>IF(B466="","",ROUND(G466/60,2))</f>
      </c>
      <c r="I466" s="11">
        <f>IF(B466="","",C466-F466)</f>
      </c>
      <c r="J466" s="11">
        <f>IF(OR(B466="",G466=0),"",ROUND(I466/H466,2))</f>
      </c>
      <c r="K466" s="9">
        <f>IF(B466="","",IF(COUNTIF($B$2:B466,B466)=1,MAX($K$1:K465)+1,""))</f>
      </c>
    </row>
    <row r="467">
      <c r="G467" s="9">
        <f>IF(B467="","",D467+E467)</f>
      </c>
      <c r="H467" s="10">
        <f>IF(B467="","",ROUND(G467/60,2))</f>
      </c>
      <c r="I467" s="11">
        <f>IF(B467="","",C467-F467)</f>
      </c>
      <c r="J467" s="11">
        <f>IF(OR(B467="",G467=0),"",ROUND(I467/H467,2))</f>
      </c>
      <c r="K467" s="9">
        <f>IF(B467="","",IF(COUNTIF($B$2:B467,B467)=1,MAX($K$1:K466)+1,""))</f>
      </c>
    </row>
    <row r="468">
      <c r="G468" s="9">
        <f>IF(B468="","",D468+E468)</f>
      </c>
      <c r="H468" s="10">
        <f>IF(B468="","",ROUND(G468/60,2))</f>
      </c>
      <c r="I468" s="11">
        <f>IF(B468="","",C468-F468)</f>
      </c>
      <c r="J468" s="11">
        <f>IF(OR(B468="",G468=0),"",ROUND(I468/H468,2))</f>
      </c>
      <c r="K468" s="9">
        <f>IF(B468="","",IF(COUNTIF($B$2:B468,B468)=1,MAX($K$1:K467)+1,""))</f>
      </c>
    </row>
    <row r="469">
      <c r="G469" s="9">
        <f>IF(B469="","",D469+E469)</f>
      </c>
      <c r="H469" s="10">
        <f>IF(B469="","",ROUND(G469/60,2))</f>
      </c>
      <c r="I469" s="11">
        <f>IF(B469="","",C469-F469)</f>
      </c>
      <c r="J469" s="11">
        <f>IF(OR(B469="",G469=0),"",ROUND(I469/H469,2))</f>
      </c>
      <c r="K469" s="9">
        <f>IF(B469="","",IF(COUNTIF($B$2:B469,B469)=1,MAX($K$1:K468)+1,""))</f>
      </c>
    </row>
    <row r="470">
      <c r="G470" s="9">
        <f>IF(B470="","",D470+E470)</f>
      </c>
      <c r="H470" s="10">
        <f>IF(B470="","",ROUND(G470/60,2))</f>
      </c>
      <c r="I470" s="11">
        <f>IF(B470="","",C470-F470)</f>
      </c>
      <c r="J470" s="11">
        <f>IF(OR(B470="",G470=0),"",ROUND(I470/H470,2))</f>
      </c>
      <c r="K470" s="9">
        <f>IF(B470="","",IF(COUNTIF($B$2:B470,B470)=1,MAX($K$1:K469)+1,""))</f>
      </c>
    </row>
    <row r="471">
      <c r="G471" s="9">
        <f>IF(B471="","",D471+E471)</f>
      </c>
      <c r="H471" s="10">
        <f>IF(B471="","",ROUND(G471/60,2))</f>
      </c>
      <c r="I471" s="11">
        <f>IF(B471="","",C471-F471)</f>
      </c>
      <c r="J471" s="11">
        <f>IF(OR(B471="",G471=0),"",ROUND(I471/H471,2))</f>
      </c>
      <c r="K471" s="9">
        <f>IF(B471="","",IF(COUNTIF($B$2:B471,B471)=1,MAX($K$1:K470)+1,""))</f>
      </c>
    </row>
    <row r="472">
      <c r="G472" s="9">
        <f>IF(B472="","",D472+E472)</f>
      </c>
      <c r="H472" s="10">
        <f>IF(B472="","",ROUND(G472/60,2))</f>
      </c>
      <c r="I472" s="11">
        <f>IF(B472="","",C472-F472)</f>
      </c>
      <c r="J472" s="11">
        <f>IF(OR(B472="",G472=0),"",ROUND(I472/H472,2))</f>
      </c>
      <c r="K472" s="9">
        <f>IF(B472="","",IF(COUNTIF($B$2:B472,B472)=1,MAX($K$1:K471)+1,""))</f>
      </c>
    </row>
    <row r="473">
      <c r="G473" s="9">
        <f>IF(B473="","",D473+E473)</f>
      </c>
      <c r="H473" s="10">
        <f>IF(B473="","",ROUND(G473/60,2))</f>
      </c>
      <c r="I473" s="11">
        <f>IF(B473="","",C473-F473)</f>
      </c>
      <c r="J473" s="11">
        <f>IF(OR(B473="",G473=0),"",ROUND(I473/H473,2))</f>
      </c>
      <c r="K473" s="9">
        <f>IF(B473="","",IF(COUNTIF($B$2:B473,B473)=1,MAX($K$1:K472)+1,""))</f>
      </c>
    </row>
    <row r="474">
      <c r="G474" s="9">
        <f>IF(B474="","",D474+E474)</f>
      </c>
      <c r="H474" s="10">
        <f>IF(B474="","",ROUND(G474/60,2))</f>
      </c>
      <c r="I474" s="11">
        <f>IF(B474="","",C474-F474)</f>
      </c>
      <c r="J474" s="11">
        <f>IF(OR(B474="",G474=0),"",ROUND(I474/H474,2))</f>
      </c>
      <c r="K474" s="9">
        <f>IF(B474="","",IF(COUNTIF($B$2:B474,B474)=1,MAX($K$1:K473)+1,""))</f>
      </c>
    </row>
    <row r="475">
      <c r="G475" s="9">
        <f>IF(B475="","",D475+E475)</f>
      </c>
      <c r="H475" s="10">
        <f>IF(B475="","",ROUND(G475/60,2))</f>
      </c>
      <c r="I475" s="11">
        <f>IF(B475="","",C475-F475)</f>
      </c>
      <c r="J475" s="11">
        <f>IF(OR(B475="",G475=0),"",ROUND(I475/H475,2))</f>
      </c>
      <c r="K475" s="9">
        <f>IF(B475="","",IF(COUNTIF($B$2:B475,B475)=1,MAX($K$1:K474)+1,""))</f>
      </c>
    </row>
    <row r="476">
      <c r="G476" s="9">
        <f>IF(B476="","",D476+E476)</f>
      </c>
      <c r="H476" s="10">
        <f>IF(B476="","",ROUND(G476/60,2))</f>
      </c>
      <c r="I476" s="11">
        <f>IF(B476="","",C476-F476)</f>
      </c>
      <c r="J476" s="11">
        <f>IF(OR(B476="",G476=0),"",ROUND(I476/H476,2))</f>
      </c>
      <c r="K476" s="9">
        <f>IF(B476="","",IF(COUNTIF($B$2:B476,B476)=1,MAX($K$1:K475)+1,""))</f>
      </c>
    </row>
    <row r="477">
      <c r="G477" s="9">
        <f>IF(B477="","",D477+E477)</f>
      </c>
      <c r="H477" s="10">
        <f>IF(B477="","",ROUND(G477/60,2))</f>
      </c>
      <c r="I477" s="11">
        <f>IF(B477="","",C477-F477)</f>
      </c>
      <c r="J477" s="11">
        <f>IF(OR(B477="",G477=0),"",ROUND(I477/H477,2))</f>
      </c>
      <c r="K477" s="9">
        <f>IF(B477="","",IF(COUNTIF($B$2:B477,B477)=1,MAX($K$1:K476)+1,""))</f>
      </c>
    </row>
    <row r="478">
      <c r="G478" s="9">
        <f>IF(B478="","",D478+E478)</f>
      </c>
      <c r="H478" s="10">
        <f>IF(B478="","",ROUND(G478/60,2))</f>
      </c>
      <c r="I478" s="11">
        <f>IF(B478="","",C478-F478)</f>
      </c>
      <c r="J478" s="11">
        <f>IF(OR(B478="",G478=0),"",ROUND(I478/H478,2))</f>
      </c>
      <c r="K478" s="9">
        <f>IF(B478="","",IF(COUNTIF($B$2:B478,B478)=1,MAX($K$1:K477)+1,""))</f>
      </c>
    </row>
    <row r="479">
      <c r="G479" s="9">
        <f>IF(B479="","",D479+E479)</f>
      </c>
      <c r="H479" s="10">
        <f>IF(B479="","",ROUND(G479/60,2))</f>
      </c>
      <c r="I479" s="11">
        <f>IF(B479="","",C479-F479)</f>
      </c>
      <c r="J479" s="11">
        <f>IF(OR(B479="",G479=0),"",ROUND(I479/H479,2))</f>
      </c>
      <c r="K479" s="9">
        <f>IF(B479="","",IF(COUNTIF($B$2:B479,B479)=1,MAX($K$1:K478)+1,""))</f>
      </c>
    </row>
    <row r="480">
      <c r="G480" s="9">
        <f>IF(B480="","",D480+E480)</f>
      </c>
      <c r="H480" s="10">
        <f>IF(B480="","",ROUND(G480/60,2))</f>
      </c>
      <c r="I480" s="11">
        <f>IF(B480="","",C480-F480)</f>
      </c>
      <c r="J480" s="11">
        <f>IF(OR(B480="",G480=0),"",ROUND(I480/H480,2))</f>
      </c>
      <c r="K480" s="9">
        <f>IF(B480="","",IF(COUNTIF($B$2:B480,B480)=1,MAX($K$1:K479)+1,""))</f>
      </c>
    </row>
    <row r="481">
      <c r="G481" s="9">
        <f>IF(B481="","",D481+E481)</f>
      </c>
      <c r="H481" s="10">
        <f>IF(B481="","",ROUND(G481/60,2))</f>
      </c>
      <c r="I481" s="11">
        <f>IF(B481="","",C481-F481)</f>
      </c>
      <c r="J481" s="11">
        <f>IF(OR(B481="",G481=0),"",ROUND(I481/H481,2))</f>
      </c>
      <c r="K481" s="9">
        <f>IF(B481="","",IF(COUNTIF($B$2:B481,B481)=1,MAX($K$1:K480)+1,""))</f>
      </c>
    </row>
    <row r="482">
      <c r="G482" s="9">
        <f>IF(B482="","",D482+E482)</f>
      </c>
      <c r="H482" s="10">
        <f>IF(B482="","",ROUND(G482/60,2))</f>
      </c>
      <c r="I482" s="11">
        <f>IF(B482="","",C482-F482)</f>
      </c>
      <c r="J482" s="11">
        <f>IF(OR(B482="",G482=0),"",ROUND(I482/H482,2))</f>
      </c>
      <c r="K482" s="9">
        <f>IF(B482="","",IF(COUNTIF($B$2:B482,B482)=1,MAX($K$1:K481)+1,""))</f>
      </c>
    </row>
    <row r="483">
      <c r="G483" s="9">
        <f>IF(B483="","",D483+E483)</f>
      </c>
      <c r="H483" s="10">
        <f>IF(B483="","",ROUND(G483/60,2))</f>
      </c>
      <c r="I483" s="11">
        <f>IF(B483="","",C483-F483)</f>
      </c>
      <c r="J483" s="11">
        <f>IF(OR(B483="",G483=0),"",ROUND(I483/H483,2))</f>
      </c>
      <c r="K483" s="9">
        <f>IF(B483="","",IF(COUNTIF($B$2:B483,B483)=1,MAX($K$1:K482)+1,""))</f>
      </c>
    </row>
    <row r="484">
      <c r="G484" s="9">
        <f>IF(B484="","",D484+E484)</f>
      </c>
      <c r="H484" s="10">
        <f>IF(B484="","",ROUND(G484/60,2))</f>
      </c>
      <c r="I484" s="11">
        <f>IF(B484="","",C484-F484)</f>
      </c>
      <c r="J484" s="11">
        <f>IF(OR(B484="",G484=0),"",ROUND(I484/H484,2))</f>
      </c>
      <c r="K484" s="9">
        <f>IF(B484="","",IF(COUNTIF($B$2:B484,B484)=1,MAX($K$1:K483)+1,""))</f>
      </c>
    </row>
    <row r="485">
      <c r="G485" s="9">
        <f>IF(B485="","",D485+E485)</f>
      </c>
      <c r="H485" s="10">
        <f>IF(B485="","",ROUND(G485/60,2))</f>
      </c>
      <c r="I485" s="11">
        <f>IF(B485="","",C485-F485)</f>
      </c>
      <c r="J485" s="11">
        <f>IF(OR(B485="",G485=0),"",ROUND(I485/H485,2))</f>
      </c>
      <c r="K485" s="9">
        <f>IF(B485="","",IF(COUNTIF($B$2:B485,B485)=1,MAX($K$1:K484)+1,""))</f>
      </c>
    </row>
    <row r="486">
      <c r="G486" s="9">
        <f>IF(B486="","",D486+E486)</f>
      </c>
      <c r="H486" s="10">
        <f>IF(B486="","",ROUND(G486/60,2))</f>
      </c>
      <c r="I486" s="11">
        <f>IF(B486="","",C486-F486)</f>
      </c>
      <c r="J486" s="11">
        <f>IF(OR(B486="",G486=0),"",ROUND(I486/H486,2))</f>
      </c>
      <c r="K486" s="9">
        <f>IF(B486="","",IF(COUNTIF($B$2:B486,B486)=1,MAX($K$1:K485)+1,""))</f>
      </c>
    </row>
    <row r="487">
      <c r="G487" s="9">
        <f>IF(B487="","",D487+E487)</f>
      </c>
      <c r="H487" s="10">
        <f>IF(B487="","",ROUND(G487/60,2))</f>
      </c>
      <c r="I487" s="11">
        <f>IF(B487="","",C487-F487)</f>
      </c>
      <c r="J487" s="11">
        <f>IF(OR(B487="",G487=0),"",ROUND(I487/H487,2))</f>
      </c>
      <c r="K487" s="9">
        <f>IF(B487="","",IF(COUNTIF($B$2:B487,B487)=1,MAX($K$1:K486)+1,""))</f>
      </c>
    </row>
    <row r="488">
      <c r="G488" s="9">
        <f>IF(B488="","",D488+E488)</f>
      </c>
      <c r="H488" s="10">
        <f>IF(B488="","",ROUND(G488/60,2))</f>
      </c>
      <c r="I488" s="11">
        <f>IF(B488="","",C488-F488)</f>
      </c>
      <c r="J488" s="11">
        <f>IF(OR(B488="",G488=0),"",ROUND(I488/H488,2))</f>
      </c>
      <c r="K488" s="9">
        <f>IF(B488="","",IF(COUNTIF($B$2:B488,B488)=1,MAX($K$1:K487)+1,""))</f>
      </c>
    </row>
    <row r="489">
      <c r="G489" s="9">
        <f>IF(B489="","",D489+E489)</f>
      </c>
      <c r="H489" s="10">
        <f>IF(B489="","",ROUND(G489/60,2))</f>
      </c>
      <c r="I489" s="11">
        <f>IF(B489="","",C489-F489)</f>
      </c>
      <c r="J489" s="11">
        <f>IF(OR(B489="",G489=0),"",ROUND(I489/H489,2))</f>
      </c>
      <c r="K489" s="9">
        <f>IF(B489="","",IF(COUNTIF($B$2:B489,B489)=1,MAX($K$1:K488)+1,""))</f>
      </c>
    </row>
    <row r="490">
      <c r="G490" s="9">
        <f>IF(B490="","",D490+E490)</f>
      </c>
      <c r="H490" s="10">
        <f>IF(B490="","",ROUND(G490/60,2))</f>
      </c>
      <c r="I490" s="11">
        <f>IF(B490="","",C490-F490)</f>
      </c>
      <c r="J490" s="11">
        <f>IF(OR(B490="",G490=0),"",ROUND(I490/H490,2))</f>
      </c>
      <c r="K490" s="9">
        <f>IF(B490="","",IF(COUNTIF($B$2:B490,B490)=1,MAX($K$1:K489)+1,""))</f>
      </c>
    </row>
    <row r="491">
      <c r="G491" s="9">
        <f>IF(B491="","",D491+E491)</f>
      </c>
      <c r="H491" s="10">
        <f>IF(B491="","",ROUND(G491/60,2))</f>
      </c>
      <c r="I491" s="11">
        <f>IF(B491="","",C491-F491)</f>
      </c>
      <c r="J491" s="11">
        <f>IF(OR(B491="",G491=0),"",ROUND(I491/H491,2))</f>
      </c>
      <c r="K491" s="9">
        <f>IF(B491="","",IF(COUNTIF($B$2:B491,B491)=1,MAX($K$1:K490)+1,""))</f>
      </c>
    </row>
    <row r="492">
      <c r="G492" s="9">
        <f>IF(B492="","",D492+E492)</f>
      </c>
      <c r="H492" s="10">
        <f>IF(B492="","",ROUND(G492/60,2))</f>
      </c>
      <c r="I492" s="11">
        <f>IF(B492="","",C492-F492)</f>
      </c>
      <c r="J492" s="11">
        <f>IF(OR(B492="",G492=0),"",ROUND(I492/H492,2))</f>
      </c>
      <c r="K492" s="9">
        <f>IF(B492="","",IF(COUNTIF($B$2:B492,B492)=1,MAX($K$1:K491)+1,""))</f>
      </c>
    </row>
    <row r="493">
      <c r="G493" s="9">
        <f>IF(B493="","",D493+E493)</f>
      </c>
      <c r="H493" s="10">
        <f>IF(B493="","",ROUND(G493/60,2))</f>
      </c>
      <c r="I493" s="11">
        <f>IF(B493="","",C493-F493)</f>
      </c>
      <c r="J493" s="11">
        <f>IF(OR(B493="",G493=0),"",ROUND(I493/H493,2))</f>
      </c>
      <c r="K493" s="9">
        <f>IF(B493="","",IF(COUNTIF($B$2:B493,B493)=1,MAX($K$1:K492)+1,""))</f>
      </c>
    </row>
    <row r="494">
      <c r="G494" s="9">
        <f>IF(B494="","",D494+E494)</f>
      </c>
      <c r="H494" s="10">
        <f>IF(B494="","",ROUND(G494/60,2))</f>
      </c>
      <c r="I494" s="11">
        <f>IF(B494="","",C494-F494)</f>
      </c>
      <c r="J494" s="11">
        <f>IF(OR(B494="",G494=0),"",ROUND(I494/H494,2))</f>
      </c>
      <c r="K494" s="9">
        <f>IF(B494="","",IF(COUNTIF($B$2:B494,B494)=1,MAX($K$1:K493)+1,""))</f>
      </c>
    </row>
    <row r="495">
      <c r="G495" s="9">
        <f>IF(B495="","",D495+E495)</f>
      </c>
      <c r="H495" s="10">
        <f>IF(B495="","",ROUND(G495/60,2))</f>
      </c>
      <c r="I495" s="11">
        <f>IF(B495="","",C495-F495)</f>
      </c>
      <c r="J495" s="11">
        <f>IF(OR(B495="",G495=0),"",ROUND(I495/H495,2))</f>
      </c>
      <c r="K495" s="9">
        <f>IF(B495="","",IF(COUNTIF($B$2:B495,B495)=1,MAX($K$1:K494)+1,""))</f>
      </c>
    </row>
    <row r="496">
      <c r="G496" s="9">
        <f>IF(B496="","",D496+E496)</f>
      </c>
      <c r="H496" s="10">
        <f>IF(B496="","",ROUND(G496/60,2))</f>
      </c>
      <c r="I496" s="11">
        <f>IF(B496="","",C496-F496)</f>
      </c>
      <c r="J496" s="11">
        <f>IF(OR(B496="",G496=0),"",ROUND(I496/H496,2))</f>
      </c>
      <c r="K496" s="9">
        <f>IF(B496="","",IF(COUNTIF($B$2:B496,B496)=1,MAX($K$1:K495)+1,""))</f>
      </c>
    </row>
    <row r="497">
      <c r="G497" s="9">
        <f>IF(B497="","",D497+E497)</f>
      </c>
      <c r="H497" s="10">
        <f>IF(B497="","",ROUND(G497/60,2))</f>
      </c>
      <c r="I497" s="11">
        <f>IF(B497="","",C497-F497)</f>
      </c>
      <c r="J497" s="11">
        <f>IF(OR(B497="",G497=0),"",ROUND(I497/H497,2))</f>
      </c>
      <c r="K497" s="9">
        <f>IF(B497="","",IF(COUNTIF($B$2:B497,B497)=1,MAX($K$1:K496)+1,""))</f>
      </c>
    </row>
    <row r="498">
      <c r="G498" s="9">
        <f>IF(B498="","",D498+E498)</f>
      </c>
      <c r="H498" s="10">
        <f>IF(B498="","",ROUND(G498/60,2))</f>
      </c>
      <c r="I498" s="11">
        <f>IF(B498="","",C498-F498)</f>
      </c>
      <c r="J498" s="11">
        <f>IF(OR(B498="",G498=0),"",ROUND(I498/H498,2))</f>
      </c>
      <c r="K498" s="9">
        <f>IF(B498="","",IF(COUNTIF($B$2:B498,B498)=1,MAX($K$1:K497)+1,""))</f>
      </c>
    </row>
    <row r="499">
      <c r="G499" s="9">
        <f>IF(B499="","",D499+E499)</f>
      </c>
      <c r="H499" s="10">
        <f>IF(B499="","",ROUND(G499/60,2))</f>
      </c>
      <c r="I499" s="11">
        <f>IF(B499="","",C499-F499)</f>
      </c>
      <c r="J499" s="11">
        <f>IF(OR(B499="",G499=0),"",ROUND(I499/H499,2))</f>
      </c>
      <c r="K499" s="9">
        <f>IF(B499="","",IF(COUNTIF($B$2:B499,B499)=1,MAX($K$1:K498)+1,""))</f>
      </c>
    </row>
    <row r="500">
      <c r="G500" s="9">
        <f>IF(B500="","",D500+E500)</f>
      </c>
      <c r="H500" s="10">
        <f>IF(B500="","",ROUND(G500/60,2))</f>
      </c>
      <c r="I500" s="11">
        <f>IF(B500="","",C500-F500)</f>
      </c>
      <c r="J500" s="11">
        <f>IF(OR(B500="",G500=0),"",ROUND(I500/H500,2))</f>
      </c>
      <c r="K500" s="9">
        <f>IF(B500="","",IF(COUNTIF($B$2:B500,B500)=1,MAX($K$1:K499)+1,""))</f>
      </c>
    </row>
    <row r="501">
      <c r="G501" s="9">
        <f>IF(B501="","",D501+E501)</f>
      </c>
      <c r="H501" s="10">
        <f>IF(B501="","",ROUND(G501/60,2))</f>
      </c>
      <c r="I501" s="11">
        <f>IF(B501="","",C501-F501)</f>
      </c>
      <c r="J501" s="11">
        <f>IF(OR(B501="",G501=0),"",ROUND(I501/H501,2))</f>
      </c>
      <c r="K501" s="9">
        <f>IF(B501="","",IF(COUNTIF($B$2:B501,B501)=1,MAX($K$1:K500)+1,""))</f>
      </c>
    </row>
    <row r="502">
      <c r="G502" s="9">
        <f>IF(B502="","",D502+E502)</f>
      </c>
      <c r="H502" s="10">
        <f>IF(B502="","",ROUND(G502/60,2))</f>
      </c>
      <c r="I502" s="11">
        <f>IF(B502="","",C502-F502)</f>
      </c>
      <c r="J502" s="11">
        <f>IF(OR(B502="",G502=0),"",ROUND(I502/H502,2))</f>
      </c>
      <c r="K502" s="9">
        <f>IF(B502="","",IF(COUNTIF($B$2:B502,B502)=1,MAX($K$1:K501)+1,""))</f>
      </c>
    </row>
    <row r="503">
      <c r="G503" s="9">
        <f>IF(B503="","",D503+E503)</f>
      </c>
      <c r="H503" s="10">
        <f>IF(B503="","",ROUND(G503/60,2))</f>
      </c>
      <c r="I503" s="11">
        <f>IF(B503="","",C503-F503)</f>
      </c>
      <c r="J503" s="11">
        <f>IF(OR(B503="",G503=0),"",ROUND(I503/H503,2))</f>
      </c>
      <c r="K503" s="9">
        <f>IF(B503="","",IF(COUNTIF($B$2:B503,B503)=1,MAX($K$1:K502)+1,""))</f>
      </c>
    </row>
    <row r="504">
      <c r="G504" s="9">
        <f>IF(B504="","",D504+E504)</f>
      </c>
      <c r="H504" s="10">
        <f>IF(B504="","",ROUND(G504/60,2))</f>
      </c>
      <c r="I504" s="11">
        <f>IF(B504="","",C504-F504)</f>
      </c>
      <c r="J504" s="11">
        <f>IF(OR(B504="",G504=0),"",ROUND(I504/H504,2))</f>
      </c>
      <c r="K504" s="9">
        <f>IF(B504="","",IF(COUNTIF($B$2:B504,B504)=1,MAX($K$1:K503)+1,""))</f>
      </c>
    </row>
    <row r="505">
      <c r="G505" s="9">
        <f>IF(B505="","",D505+E505)</f>
      </c>
      <c r="H505" s="10">
        <f>IF(B505="","",ROUND(G505/60,2))</f>
      </c>
      <c r="I505" s="11">
        <f>IF(B505="","",C505-F505)</f>
      </c>
      <c r="J505" s="11">
        <f>IF(OR(B505="",G505=0),"",ROUND(I505/H505,2))</f>
      </c>
      <c r="K505" s="9">
        <f>IF(B505="","",IF(COUNTIF($B$2:B505,B505)=1,MAX($K$1:K504)+1,""))</f>
      </c>
    </row>
    <row r="506">
      <c r="G506" s="9">
        <f>IF(B506="","",D506+E506)</f>
      </c>
      <c r="H506" s="10">
        <f>IF(B506="","",ROUND(G506/60,2))</f>
      </c>
      <c r="I506" s="11">
        <f>IF(B506="","",C506-F506)</f>
      </c>
      <c r="J506" s="11">
        <f>IF(OR(B506="",G506=0),"",ROUND(I506/H506,2))</f>
      </c>
      <c r="K506" s="9">
        <f>IF(B506="","",IF(COUNTIF($B$2:B506,B506)=1,MAX($K$1:K505)+1,""))</f>
      </c>
    </row>
    <row r="507">
      <c r="G507" s="9">
        <f>IF(B507="","",D507+E507)</f>
      </c>
      <c r="H507" s="10">
        <f>IF(B507="","",ROUND(G507/60,2))</f>
      </c>
      <c r="I507" s="11">
        <f>IF(B507="","",C507-F507)</f>
      </c>
      <c r="J507" s="11">
        <f>IF(OR(B507="",G507=0),"",ROUND(I507/H507,2))</f>
      </c>
      <c r="K507" s="9">
        <f>IF(B507="","",IF(COUNTIF($B$2:B507,B507)=1,MAX($K$1:K506)+1,""))</f>
      </c>
    </row>
    <row r="508">
      <c r="G508" s="9">
        <f>IF(B508="","",D508+E508)</f>
      </c>
      <c r="H508" s="10">
        <f>IF(B508="","",ROUND(G508/60,2))</f>
      </c>
      <c r="I508" s="11">
        <f>IF(B508="","",C508-F508)</f>
      </c>
      <c r="J508" s="11">
        <f>IF(OR(B508="",G508=0),"",ROUND(I508/H508,2))</f>
      </c>
      <c r="K508" s="9">
        <f>IF(B508="","",IF(COUNTIF($B$2:B508,B508)=1,MAX($K$1:K507)+1,""))</f>
      </c>
    </row>
    <row r="509">
      <c r="G509" s="9">
        <f>IF(B509="","",D509+E509)</f>
      </c>
      <c r="H509" s="10">
        <f>IF(B509="","",ROUND(G509/60,2))</f>
      </c>
      <c r="I509" s="11">
        <f>IF(B509="","",C509-F509)</f>
      </c>
      <c r="J509" s="11">
        <f>IF(OR(B509="",G509=0),"",ROUND(I509/H509,2))</f>
      </c>
      <c r="K509" s="9">
        <f>IF(B509="","",IF(COUNTIF($B$2:B509,B509)=1,MAX($K$1:K508)+1,""))</f>
      </c>
    </row>
    <row r="510">
      <c r="G510" s="9">
        <f>IF(B510="","",D510+E510)</f>
      </c>
      <c r="H510" s="10">
        <f>IF(B510="","",ROUND(G510/60,2))</f>
      </c>
      <c r="I510" s="11">
        <f>IF(B510="","",C510-F510)</f>
      </c>
      <c r="J510" s="11">
        <f>IF(OR(B510="",G510=0),"",ROUND(I510/H510,2))</f>
      </c>
      <c r="K510" s="9">
        <f>IF(B510="","",IF(COUNTIF($B$2:B510,B510)=1,MAX($K$1:K509)+1,""))</f>
      </c>
    </row>
    <row r="511">
      <c r="G511" s="9">
        <f>IF(B511="","",D511+E511)</f>
      </c>
      <c r="H511" s="10">
        <f>IF(B511="","",ROUND(G511/60,2))</f>
      </c>
      <c r="I511" s="11">
        <f>IF(B511="","",C511-F511)</f>
      </c>
      <c r="J511" s="11">
        <f>IF(OR(B511="",G511=0),"",ROUND(I511/H511,2))</f>
      </c>
      <c r="K511" s="9">
        <f>IF(B511="","",IF(COUNTIF($B$2:B511,B511)=1,MAX($K$1:K510)+1,""))</f>
      </c>
    </row>
    <row r="512">
      <c r="G512" s="9">
        <f>IF(B512="","",D512+E512)</f>
      </c>
      <c r="H512" s="10">
        <f>IF(B512="","",ROUND(G512/60,2))</f>
      </c>
      <c r="I512" s="11">
        <f>IF(B512="","",C512-F512)</f>
      </c>
      <c r="J512" s="11">
        <f>IF(OR(B512="",G512=0),"",ROUND(I512/H512,2))</f>
      </c>
      <c r="K512" s="9">
        <f>IF(B512="","",IF(COUNTIF($B$2:B512,B512)=1,MAX($K$1:K511)+1,""))</f>
      </c>
    </row>
    <row r="513">
      <c r="G513" s="9">
        <f>IF(B513="","",D513+E513)</f>
      </c>
      <c r="H513" s="10">
        <f>IF(B513="","",ROUND(G513/60,2))</f>
      </c>
      <c r="I513" s="11">
        <f>IF(B513="","",C513-F513)</f>
      </c>
      <c r="J513" s="11">
        <f>IF(OR(B513="",G513=0),"",ROUND(I513/H513,2))</f>
      </c>
      <c r="K513" s="9">
        <f>IF(B513="","",IF(COUNTIF($B$2:B513,B513)=1,MAX($K$1:K512)+1,""))</f>
      </c>
    </row>
    <row r="514">
      <c r="G514" s="9">
        <f>IF(B514="","",D514+E514)</f>
      </c>
      <c r="H514" s="10">
        <f>IF(B514="","",ROUND(G514/60,2))</f>
      </c>
      <c r="I514" s="11">
        <f>IF(B514="","",C514-F514)</f>
      </c>
      <c r="J514" s="11">
        <f>IF(OR(B514="",G514=0),"",ROUND(I514/H514,2))</f>
      </c>
      <c r="K514" s="9">
        <f>IF(B514="","",IF(COUNTIF($B$2:B514,B514)=1,MAX($K$1:K513)+1,""))</f>
      </c>
    </row>
    <row r="515">
      <c r="G515" s="9">
        <f>IF(B515="","",D515+E515)</f>
      </c>
      <c r="H515" s="10">
        <f>IF(B515="","",ROUND(G515/60,2))</f>
      </c>
      <c r="I515" s="11">
        <f>IF(B515="","",C515-F515)</f>
      </c>
      <c r="J515" s="11">
        <f>IF(OR(B515="",G515=0),"",ROUND(I515/H515,2))</f>
      </c>
      <c r="K515" s="9">
        <f>IF(B515="","",IF(COUNTIF($B$2:B515,B515)=1,MAX($K$1:K514)+1,""))</f>
      </c>
    </row>
    <row r="516">
      <c r="G516" s="9">
        <f>IF(B516="","",D516+E516)</f>
      </c>
      <c r="H516" s="10">
        <f>IF(B516="","",ROUND(G516/60,2))</f>
      </c>
      <c r="I516" s="11">
        <f>IF(B516="","",C516-F516)</f>
      </c>
      <c r="J516" s="11">
        <f>IF(OR(B516="",G516=0),"",ROUND(I516/H516,2))</f>
      </c>
      <c r="K516" s="9">
        <f>IF(B516="","",IF(COUNTIF($B$2:B516,B516)=1,MAX($K$1:K515)+1,""))</f>
      </c>
    </row>
    <row r="517">
      <c r="G517" s="9">
        <f>IF(B517="","",D517+E517)</f>
      </c>
      <c r="H517" s="10">
        <f>IF(B517="","",ROUND(G517/60,2))</f>
      </c>
      <c r="I517" s="11">
        <f>IF(B517="","",C517-F517)</f>
      </c>
      <c r="J517" s="11">
        <f>IF(OR(B517="",G517=0),"",ROUND(I517/H517,2))</f>
      </c>
      <c r="K517" s="9">
        <f>IF(B517="","",IF(COUNTIF($B$2:B517,B517)=1,MAX($K$1:K516)+1,""))</f>
      </c>
    </row>
    <row r="518">
      <c r="G518" s="9">
        <f>IF(B518="","",D518+E518)</f>
      </c>
      <c r="H518" s="10">
        <f>IF(B518="","",ROUND(G518/60,2))</f>
      </c>
      <c r="I518" s="11">
        <f>IF(B518="","",C518-F518)</f>
      </c>
      <c r="J518" s="11">
        <f>IF(OR(B518="",G518=0),"",ROUND(I518/H518,2))</f>
      </c>
      <c r="K518" s="9">
        <f>IF(B518="","",IF(COUNTIF($B$2:B518,B518)=1,MAX($K$1:K517)+1,""))</f>
      </c>
    </row>
    <row r="519">
      <c r="G519" s="9">
        <f>IF(B519="","",D519+E519)</f>
      </c>
      <c r="H519" s="10">
        <f>IF(B519="","",ROUND(G519/60,2))</f>
      </c>
      <c r="I519" s="11">
        <f>IF(B519="","",C519-F519)</f>
      </c>
      <c r="J519" s="11">
        <f>IF(OR(B519="",G519=0),"",ROUND(I519/H519,2))</f>
      </c>
      <c r="K519" s="9">
        <f>IF(B519="","",IF(COUNTIF($B$2:B519,B519)=1,MAX($K$1:K518)+1,""))</f>
      </c>
    </row>
    <row r="520">
      <c r="G520" s="9">
        <f>IF(B520="","",D520+E520)</f>
      </c>
      <c r="H520" s="10">
        <f>IF(B520="","",ROUND(G520/60,2))</f>
      </c>
      <c r="I520" s="11">
        <f>IF(B520="","",C520-F520)</f>
      </c>
      <c r="J520" s="11">
        <f>IF(OR(B520="",G520=0),"",ROUND(I520/H520,2))</f>
      </c>
      <c r="K520" s="9">
        <f>IF(B520="","",IF(COUNTIF($B$2:B520,B520)=1,MAX($K$1:K519)+1,""))</f>
      </c>
    </row>
    <row r="521">
      <c r="G521" s="9">
        <f>IF(B521="","",D521+E521)</f>
      </c>
      <c r="H521" s="10">
        <f>IF(B521="","",ROUND(G521/60,2))</f>
      </c>
      <c r="I521" s="11">
        <f>IF(B521="","",C521-F521)</f>
      </c>
      <c r="J521" s="11">
        <f>IF(OR(B521="",G521=0),"",ROUND(I521/H521,2))</f>
      </c>
      <c r="K521" s="9">
        <f>IF(B521="","",IF(COUNTIF($B$2:B521,B521)=1,MAX($K$1:K520)+1,""))</f>
      </c>
    </row>
    <row r="522">
      <c r="G522" s="9">
        <f>IF(B522="","",D522+E522)</f>
      </c>
      <c r="H522" s="10">
        <f>IF(B522="","",ROUND(G522/60,2))</f>
      </c>
      <c r="I522" s="11">
        <f>IF(B522="","",C522-F522)</f>
      </c>
      <c r="J522" s="11">
        <f>IF(OR(B522="",G522=0),"",ROUND(I522/H522,2))</f>
      </c>
      <c r="K522" s="9">
        <f>IF(B522="","",IF(COUNTIF($B$2:B522,B522)=1,MAX($K$1:K521)+1,""))</f>
      </c>
    </row>
    <row r="523">
      <c r="G523" s="9">
        <f>IF(B523="","",D523+E523)</f>
      </c>
      <c r="H523" s="10">
        <f>IF(B523="","",ROUND(G523/60,2))</f>
      </c>
      <c r="I523" s="11">
        <f>IF(B523="","",C523-F523)</f>
      </c>
      <c r="J523" s="11">
        <f>IF(OR(B523="",G523=0),"",ROUND(I523/H523,2))</f>
      </c>
      <c r="K523" s="9">
        <f>IF(B523="","",IF(COUNTIF($B$2:B523,B523)=1,MAX($K$1:K522)+1,""))</f>
      </c>
    </row>
    <row r="524">
      <c r="G524" s="9">
        <f>IF(B524="","",D524+E524)</f>
      </c>
      <c r="H524" s="10">
        <f>IF(B524="","",ROUND(G524/60,2))</f>
      </c>
      <c r="I524" s="11">
        <f>IF(B524="","",C524-F524)</f>
      </c>
      <c r="J524" s="11">
        <f>IF(OR(B524="",G524=0),"",ROUND(I524/H524,2))</f>
      </c>
      <c r="K524" s="9">
        <f>IF(B524="","",IF(COUNTIF($B$2:B524,B524)=1,MAX($K$1:K523)+1,""))</f>
      </c>
    </row>
    <row r="525">
      <c r="G525" s="9">
        <f>IF(B525="","",D525+E525)</f>
      </c>
      <c r="H525" s="10">
        <f>IF(B525="","",ROUND(G525/60,2))</f>
      </c>
      <c r="I525" s="11">
        <f>IF(B525="","",C525-F525)</f>
      </c>
      <c r="J525" s="11">
        <f>IF(OR(B525="",G525=0),"",ROUND(I525/H525,2))</f>
      </c>
      <c r="K525" s="9">
        <f>IF(B525="","",IF(COUNTIF($B$2:B525,B525)=1,MAX($K$1:K524)+1,""))</f>
      </c>
    </row>
    <row r="526">
      <c r="G526" s="9">
        <f>IF(B526="","",D526+E526)</f>
      </c>
      <c r="H526" s="10">
        <f>IF(B526="","",ROUND(G526/60,2))</f>
      </c>
      <c r="I526" s="11">
        <f>IF(B526="","",C526-F526)</f>
      </c>
      <c r="J526" s="11">
        <f>IF(OR(B526="",G526=0),"",ROUND(I526/H526,2))</f>
      </c>
      <c r="K526" s="9">
        <f>IF(B526="","",IF(COUNTIF($B$2:B526,B526)=1,MAX($K$1:K525)+1,""))</f>
      </c>
    </row>
    <row r="527">
      <c r="G527" s="9">
        <f>IF(B527="","",D527+E527)</f>
      </c>
      <c r="H527" s="10">
        <f>IF(B527="","",ROUND(G527/60,2))</f>
      </c>
      <c r="I527" s="11">
        <f>IF(B527="","",C527-F527)</f>
      </c>
      <c r="J527" s="11">
        <f>IF(OR(B527="",G527=0),"",ROUND(I527/H527,2))</f>
      </c>
      <c r="K527" s="9">
        <f>IF(B527="","",IF(COUNTIF($B$2:B527,B527)=1,MAX($K$1:K526)+1,""))</f>
      </c>
    </row>
    <row r="528">
      <c r="G528" s="9">
        <f>IF(B528="","",D528+E528)</f>
      </c>
      <c r="H528" s="10">
        <f>IF(B528="","",ROUND(G528/60,2))</f>
      </c>
      <c r="I528" s="11">
        <f>IF(B528="","",C528-F528)</f>
      </c>
      <c r="J528" s="11">
        <f>IF(OR(B528="",G528=0),"",ROUND(I528/H528,2))</f>
      </c>
      <c r="K528" s="9">
        <f>IF(B528="","",IF(COUNTIF($B$2:B528,B528)=1,MAX($K$1:K527)+1,""))</f>
      </c>
    </row>
    <row r="529">
      <c r="G529" s="9">
        <f>IF(B529="","",D529+E529)</f>
      </c>
      <c r="H529" s="10">
        <f>IF(B529="","",ROUND(G529/60,2))</f>
      </c>
      <c r="I529" s="11">
        <f>IF(B529="","",C529-F529)</f>
      </c>
      <c r="J529" s="11">
        <f>IF(OR(B529="",G529=0),"",ROUND(I529/H529,2))</f>
      </c>
      <c r="K529" s="9">
        <f>IF(B529="","",IF(COUNTIF($B$2:B529,B529)=1,MAX($K$1:K528)+1,""))</f>
      </c>
    </row>
    <row r="530">
      <c r="G530" s="9">
        <f>IF(B530="","",D530+E530)</f>
      </c>
      <c r="H530" s="10">
        <f>IF(B530="","",ROUND(G530/60,2))</f>
      </c>
      <c r="I530" s="11">
        <f>IF(B530="","",C530-F530)</f>
      </c>
      <c r="J530" s="11">
        <f>IF(OR(B530="",G530=0),"",ROUND(I530/H530,2))</f>
      </c>
      <c r="K530" s="9">
        <f>IF(B530="","",IF(COUNTIF($B$2:B530,B530)=1,MAX($K$1:K529)+1,""))</f>
      </c>
    </row>
    <row r="531">
      <c r="G531" s="9">
        <f>IF(B531="","",D531+E531)</f>
      </c>
      <c r="H531" s="10">
        <f>IF(B531="","",ROUND(G531/60,2))</f>
      </c>
      <c r="I531" s="11">
        <f>IF(B531="","",C531-F531)</f>
      </c>
      <c r="J531" s="11">
        <f>IF(OR(B531="",G531=0),"",ROUND(I531/H531,2))</f>
      </c>
      <c r="K531" s="9">
        <f>IF(B531="","",IF(COUNTIF($B$2:B531,B531)=1,MAX($K$1:K530)+1,""))</f>
      </c>
    </row>
    <row r="532">
      <c r="G532" s="9">
        <f>IF(B532="","",D532+E532)</f>
      </c>
      <c r="H532" s="10">
        <f>IF(B532="","",ROUND(G532/60,2))</f>
      </c>
      <c r="I532" s="11">
        <f>IF(B532="","",C532-F532)</f>
      </c>
      <c r="J532" s="11">
        <f>IF(OR(B532="",G532=0),"",ROUND(I532/H532,2))</f>
      </c>
      <c r="K532" s="9">
        <f>IF(B532="","",IF(COUNTIF($B$2:B532,B532)=1,MAX($K$1:K531)+1,""))</f>
      </c>
    </row>
    <row r="533">
      <c r="G533" s="9">
        <f>IF(B533="","",D533+E533)</f>
      </c>
      <c r="H533" s="10">
        <f>IF(B533="","",ROUND(G533/60,2))</f>
      </c>
      <c r="I533" s="11">
        <f>IF(B533="","",C533-F533)</f>
      </c>
      <c r="J533" s="11">
        <f>IF(OR(B533="",G533=0),"",ROUND(I533/H533,2))</f>
      </c>
      <c r="K533" s="9">
        <f>IF(B533="","",IF(COUNTIF($B$2:B533,B533)=1,MAX($K$1:K532)+1,""))</f>
      </c>
    </row>
    <row r="534">
      <c r="G534" s="9">
        <f>IF(B534="","",D534+E534)</f>
      </c>
      <c r="H534" s="10">
        <f>IF(B534="","",ROUND(G534/60,2))</f>
      </c>
      <c r="I534" s="11">
        <f>IF(B534="","",C534-F534)</f>
      </c>
      <c r="J534" s="11">
        <f>IF(OR(B534="",G534=0),"",ROUND(I534/H534,2))</f>
      </c>
      <c r="K534" s="9">
        <f>IF(B534="","",IF(COUNTIF($B$2:B534,B534)=1,MAX($K$1:K533)+1,""))</f>
      </c>
    </row>
    <row r="535">
      <c r="G535" s="9">
        <f>IF(B535="","",D535+E535)</f>
      </c>
      <c r="H535" s="10">
        <f>IF(B535="","",ROUND(G535/60,2))</f>
      </c>
      <c r="I535" s="11">
        <f>IF(B535="","",C535-F535)</f>
      </c>
      <c r="J535" s="11">
        <f>IF(OR(B535="",G535=0),"",ROUND(I535/H535,2))</f>
      </c>
      <c r="K535" s="9">
        <f>IF(B535="","",IF(COUNTIF($B$2:B535,B535)=1,MAX($K$1:K534)+1,""))</f>
      </c>
    </row>
    <row r="536">
      <c r="G536" s="9">
        <f>IF(B536="","",D536+E536)</f>
      </c>
      <c r="H536" s="10">
        <f>IF(B536="","",ROUND(G536/60,2))</f>
      </c>
      <c r="I536" s="11">
        <f>IF(B536="","",C536-F536)</f>
      </c>
      <c r="J536" s="11">
        <f>IF(OR(B536="",G536=0),"",ROUND(I536/H536,2))</f>
      </c>
      <c r="K536" s="9">
        <f>IF(B536="","",IF(COUNTIF($B$2:B536,B536)=1,MAX($K$1:K535)+1,""))</f>
      </c>
    </row>
    <row r="537">
      <c r="G537" s="9">
        <f>IF(B537="","",D537+E537)</f>
      </c>
      <c r="H537" s="10">
        <f>IF(B537="","",ROUND(G537/60,2))</f>
      </c>
      <c r="I537" s="11">
        <f>IF(B537="","",C537-F537)</f>
      </c>
      <c r="J537" s="11">
        <f>IF(OR(B537="",G537=0),"",ROUND(I537/H537,2))</f>
      </c>
      <c r="K537" s="9">
        <f>IF(B537="","",IF(COUNTIF($B$2:B537,B537)=1,MAX($K$1:K536)+1,""))</f>
      </c>
    </row>
    <row r="538">
      <c r="G538" s="9">
        <f>IF(B538="","",D538+E538)</f>
      </c>
      <c r="H538" s="10">
        <f>IF(B538="","",ROUND(G538/60,2))</f>
      </c>
      <c r="I538" s="11">
        <f>IF(B538="","",C538-F538)</f>
      </c>
      <c r="J538" s="11">
        <f>IF(OR(B538="",G538=0),"",ROUND(I538/H538,2))</f>
      </c>
      <c r="K538" s="9">
        <f>IF(B538="","",IF(COUNTIF($B$2:B538,B538)=1,MAX($K$1:K537)+1,""))</f>
      </c>
    </row>
    <row r="539">
      <c r="G539" s="9">
        <f>IF(B539="","",D539+E539)</f>
      </c>
      <c r="H539" s="10">
        <f>IF(B539="","",ROUND(G539/60,2))</f>
      </c>
      <c r="I539" s="11">
        <f>IF(B539="","",C539-F539)</f>
      </c>
      <c r="J539" s="11">
        <f>IF(OR(B539="",G539=0),"",ROUND(I539/H539,2))</f>
      </c>
      <c r="K539" s="9">
        <f>IF(B539="","",IF(COUNTIF($B$2:B539,B539)=1,MAX($K$1:K538)+1,""))</f>
      </c>
    </row>
    <row r="540">
      <c r="G540" s="9">
        <f>IF(B540="","",D540+E540)</f>
      </c>
      <c r="H540" s="10">
        <f>IF(B540="","",ROUND(G540/60,2))</f>
      </c>
      <c r="I540" s="11">
        <f>IF(B540="","",C540-F540)</f>
      </c>
      <c r="J540" s="11">
        <f>IF(OR(B540="",G540=0),"",ROUND(I540/H540,2))</f>
      </c>
      <c r="K540" s="9">
        <f>IF(B540="","",IF(COUNTIF($B$2:B540,B540)=1,MAX($K$1:K539)+1,""))</f>
      </c>
    </row>
    <row r="541">
      <c r="G541" s="9">
        <f>IF(B541="","",D541+E541)</f>
      </c>
      <c r="H541" s="10">
        <f>IF(B541="","",ROUND(G541/60,2))</f>
      </c>
      <c r="I541" s="11">
        <f>IF(B541="","",C541-F541)</f>
      </c>
      <c r="J541" s="11">
        <f>IF(OR(B541="",G541=0),"",ROUND(I541/H541,2))</f>
      </c>
      <c r="K541" s="9">
        <f>IF(B541="","",IF(COUNTIF($B$2:B541,B541)=1,MAX($K$1:K540)+1,""))</f>
      </c>
    </row>
    <row r="542">
      <c r="G542" s="9">
        <f>IF(B542="","",D542+E542)</f>
      </c>
      <c r="H542" s="10">
        <f>IF(B542="","",ROUND(G542/60,2))</f>
      </c>
      <c r="I542" s="11">
        <f>IF(B542="","",C542-F542)</f>
      </c>
      <c r="J542" s="11">
        <f>IF(OR(B542="",G542=0),"",ROUND(I542/H542,2))</f>
      </c>
      <c r="K542" s="9">
        <f>IF(B542="","",IF(COUNTIF($B$2:B542,B542)=1,MAX($K$1:K541)+1,""))</f>
      </c>
    </row>
    <row r="543">
      <c r="G543" s="9">
        <f>IF(B543="","",D543+E543)</f>
      </c>
      <c r="H543" s="10">
        <f>IF(B543="","",ROUND(G543/60,2))</f>
      </c>
      <c r="I543" s="11">
        <f>IF(B543="","",C543-F543)</f>
      </c>
      <c r="J543" s="11">
        <f>IF(OR(B543="",G543=0),"",ROUND(I543/H543,2))</f>
      </c>
      <c r="K543" s="9">
        <f>IF(B543="","",IF(COUNTIF($B$2:B543,B543)=1,MAX($K$1:K542)+1,""))</f>
      </c>
    </row>
    <row r="544">
      <c r="G544" s="9">
        <f>IF(B544="","",D544+E544)</f>
      </c>
      <c r="H544" s="10">
        <f>IF(B544="","",ROUND(G544/60,2))</f>
      </c>
      <c r="I544" s="11">
        <f>IF(B544="","",C544-F544)</f>
      </c>
      <c r="J544" s="11">
        <f>IF(OR(B544="",G544=0),"",ROUND(I544/H544,2))</f>
      </c>
      <c r="K544" s="9">
        <f>IF(B544="","",IF(COUNTIF($B$2:B544,B544)=1,MAX($K$1:K543)+1,""))</f>
      </c>
    </row>
    <row r="545">
      <c r="G545" s="9">
        <f>IF(B545="","",D545+E545)</f>
      </c>
      <c r="H545" s="10">
        <f>IF(B545="","",ROUND(G545/60,2))</f>
      </c>
      <c r="I545" s="11">
        <f>IF(B545="","",C545-F545)</f>
      </c>
      <c r="J545" s="11">
        <f>IF(OR(B545="",G545=0),"",ROUND(I545/H545,2))</f>
      </c>
      <c r="K545" s="9">
        <f>IF(B545="","",IF(COUNTIF($B$2:B545,B545)=1,MAX($K$1:K544)+1,""))</f>
      </c>
    </row>
    <row r="546">
      <c r="G546" s="9">
        <f>IF(B546="","",D546+E546)</f>
      </c>
      <c r="H546" s="10">
        <f>IF(B546="","",ROUND(G546/60,2))</f>
      </c>
      <c r="I546" s="11">
        <f>IF(B546="","",C546-F546)</f>
      </c>
      <c r="J546" s="11">
        <f>IF(OR(B546="",G546=0),"",ROUND(I546/H546,2))</f>
      </c>
      <c r="K546" s="9">
        <f>IF(B546="","",IF(COUNTIF($B$2:B546,B546)=1,MAX($K$1:K545)+1,""))</f>
      </c>
    </row>
    <row r="547">
      <c r="G547" s="9">
        <f>IF(B547="","",D547+E547)</f>
      </c>
      <c r="H547" s="10">
        <f>IF(B547="","",ROUND(G547/60,2))</f>
      </c>
      <c r="I547" s="11">
        <f>IF(B547="","",C547-F547)</f>
      </c>
      <c r="J547" s="11">
        <f>IF(OR(B547="",G547=0),"",ROUND(I547/H547,2))</f>
      </c>
      <c r="K547" s="9">
        <f>IF(B547="","",IF(COUNTIF($B$2:B547,B547)=1,MAX($K$1:K546)+1,""))</f>
      </c>
    </row>
    <row r="548">
      <c r="G548" s="9">
        <f>IF(B548="","",D548+E548)</f>
      </c>
      <c r="H548" s="10">
        <f>IF(B548="","",ROUND(G548/60,2))</f>
      </c>
      <c r="I548" s="11">
        <f>IF(B548="","",C548-F548)</f>
      </c>
      <c r="J548" s="11">
        <f>IF(OR(B548="",G548=0),"",ROUND(I548/H548,2))</f>
      </c>
      <c r="K548" s="9">
        <f>IF(B548="","",IF(COUNTIF($B$2:B548,B548)=1,MAX($K$1:K547)+1,""))</f>
      </c>
    </row>
    <row r="549">
      <c r="G549" s="9">
        <f>IF(B549="","",D549+E549)</f>
      </c>
      <c r="H549" s="10">
        <f>IF(B549="","",ROUND(G549/60,2))</f>
      </c>
      <c r="I549" s="11">
        <f>IF(B549="","",C549-F549)</f>
      </c>
      <c r="J549" s="11">
        <f>IF(OR(B549="",G549=0),"",ROUND(I549/H549,2))</f>
      </c>
      <c r="K549" s="9">
        <f>IF(B549="","",IF(COUNTIF($B$2:B549,B549)=1,MAX($K$1:K548)+1,""))</f>
      </c>
    </row>
    <row r="550">
      <c r="G550" s="9">
        <f>IF(B550="","",D550+E550)</f>
      </c>
      <c r="H550" s="10">
        <f>IF(B550="","",ROUND(G550/60,2))</f>
      </c>
      <c r="I550" s="11">
        <f>IF(B550="","",C550-F550)</f>
      </c>
      <c r="J550" s="11">
        <f>IF(OR(B550="",G550=0),"",ROUND(I550/H550,2))</f>
      </c>
      <c r="K550" s="9">
        <f>IF(B550="","",IF(COUNTIF($B$2:B550,B550)=1,MAX($K$1:K549)+1,""))</f>
      </c>
    </row>
    <row r="551">
      <c r="G551" s="9">
        <f>IF(B551="","",D551+E551)</f>
      </c>
      <c r="H551" s="10">
        <f>IF(B551="","",ROUND(G551/60,2))</f>
      </c>
      <c r="I551" s="11">
        <f>IF(B551="","",C551-F551)</f>
      </c>
      <c r="J551" s="11">
        <f>IF(OR(B551="",G551=0),"",ROUND(I551/H551,2))</f>
      </c>
      <c r="K551" s="9">
        <f>IF(B551="","",IF(COUNTIF($B$2:B551,B551)=1,MAX($K$1:K550)+1,""))</f>
      </c>
    </row>
    <row r="552">
      <c r="G552" s="9">
        <f>IF(B552="","",D552+E552)</f>
      </c>
      <c r="H552" s="10">
        <f>IF(B552="","",ROUND(G552/60,2))</f>
      </c>
      <c r="I552" s="11">
        <f>IF(B552="","",C552-F552)</f>
      </c>
      <c r="J552" s="11">
        <f>IF(OR(B552="",G552=0),"",ROUND(I552/H552,2))</f>
      </c>
      <c r="K552" s="9">
        <f>IF(B552="","",IF(COUNTIF($B$2:B552,B552)=1,MAX($K$1:K551)+1,""))</f>
      </c>
    </row>
    <row r="553">
      <c r="G553" s="9">
        <f>IF(B553="","",D553+E553)</f>
      </c>
      <c r="H553" s="10">
        <f>IF(B553="","",ROUND(G553/60,2))</f>
      </c>
      <c r="I553" s="11">
        <f>IF(B553="","",C553-F553)</f>
      </c>
      <c r="J553" s="11">
        <f>IF(OR(B553="",G553=0),"",ROUND(I553/H553,2))</f>
      </c>
      <c r="K553" s="9">
        <f>IF(B553="","",IF(COUNTIF($B$2:B553,B553)=1,MAX($K$1:K552)+1,""))</f>
      </c>
    </row>
    <row r="554">
      <c r="G554" s="9">
        <f>IF(B554="","",D554+E554)</f>
      </c>
      <c r="H554" s="10">
        <f>IF(B554="","",ROUND(G554/60,2))</f>
      </c>
      <c r="I554" s="11">
        <f>IF(B554="","",C554-F554)</f>
      </c>
      <c r="J554" s="11">
        <f>IF(OR(B554="",G554=0),"",ROUND(I554/H554,2))</f>
      </c>
      <c r="K554" s="9">
        <f>IF(B554="","",IF(COUNTIF($B$2:B554,B554)=1,MAX($K$1:K553)+1,""))</f>
      </c>
    </row>
    <row r="555">
      <c r="G555" s="9">
        <f>IF(B555="","",D555+E555)</f>
      </c>
      <c r="H555" s="10">
        <f>IF(B555="","",ROUND(G555/60,2))</f>
      </c>
      <c r="I555" s="11">
        <f>IF(B555="","",C555-F555)</f>
      </c>
      <c r="J555" s="11">
        <f>IF(OR(B555="",G555=0),"",ROUND(I555/H555,2))</f>
      </c>
      <c r="K555" s="9">
        <f>IF(B555="","",IF(COUNTIF($B$2:B555,B555)=1,MAX($K$1:K554)+1,""))</f>
      </c>
    </row>
    <row r="556">
      <c r="G556" s="9">
        <f>IF(B556="","",D556+E556)</f>
      </c>
      <c r="H556" s="10">
        <f>IF(B556="","",ROUND(G556/60,2))</f>
      </c>
      <c r="I556" s="11">
        <f>IF(B556="","",C556-F556)</f>
      </c>
      <c r="J556" s="11">
        <f>IF(OR(B556="",G556=0),"",ROUND(I556/H556,2))</f>
      </c>
      <c r="K556" s="9">
        <f>IF(B556="","",IF(COUNTIF($B$2:B556,B556)=1,MAX($K$1:K555)+1,""))</f>
      </c>
    </row>
    <row r="557">
      <c r="G557" s="9">
        <f>IF(B557="","",D557+E557)</f>
      </c>
      <c r="H557" s="10">
        <f>IF(B557="","",ROUND(G557/60,2))</f>
      </c>
      <c r="I557" s="11">
        <f>IF(B557="","",C557-F557)</f>
      </c>
      <c r="J557" s="11">
        <f>IF(OR(B557="",G557=0),"",ROUND(I557/H557,2))</f>
      </c>
      <c r="K557" s="9">
        <f>IF(B557="","",IF(COUNTIF($B$2:B557,B557)=1,MAX($K$1:K556)+1,""))</f>
      </c>
    </row>
    <row r="558">
      <c r="G558" s="9">
        <f>IF(B558="","",D558+E558)</f>
      </c>
      <c r="H558" s="10">
        <f>IF(B558="","",ROUND(G558/60,2))</f>
      </c>
      <c r="I558" s="11">
        <f>IF(B558="","",C558-F558)</f>
      </c>
      <c r="J558" s="11">
        <f>IF(OR(B558="",G558=0),"",ROUND(I558/H558,2))</f>
      </c>
      <c r="K558" s="9">
        <f>IF(B558="","",IF(COUNTIF($B$2:B558,B558)=1,MAX($K$1:K557)+1,""))</f>
      </c>
    </row>
    <row r="559">
      <c r="G559" s="9">
        <f>IF(B559="","",D559+E559)</f>
      </c>
      <c r="H559" s="10">
        <f>IF(B559="","",ROUND(G559/60,2))</f>
      </c>
      <c r="I559" s="11">
        <f>IF(B559="","",C559-F559)</f>
      </c>
      <c r="J559" s="11">
        <f>IF(OR(B559="",G559=0),"",ROUND(I559/H559,2))</f>
      </c>
      <c r="K559" s="9">
        <f>IF(B559="","",IF(COUNTIF($B$2:B559,B559)=1,MAX($K$1:K558)+1,""))</f>
      </c>
    </row>
    <row r="560">
      <c r="G560" s="9">
        <f>IF(B560="","",D560+E560)</f>
      </c>
      <c r="H560" s="10">
        <f>IF(B560="","",ROUND(G560/60,2))</f>
      </c>
      <c r="I560" s="11">
        <f>IF(B560="","",C560-F560)</f>
      </c>
      <c r="J560" s="11">
        <f>IF(OR(B560="",G560=0),"",ROUND(I560/H560,2))</f>
      </c>
      <c r="K560" s="9">
        <f>IF(B560="","",IF(COUNTIF($B$2:B560,B560)=1,MAX($K$1:K559)+1,""))</f>
      </c>
    </row>
    <row r="561">
      <c r="G561" s="9">
        <f>IF(B561="","",D561+E561)</f>
      </c>
      <c r="H561" s="10">
        <f>IF(B561="","",ROUND(G561/60,2))</f>
      </c>
      <c r="I561" s="11">
        <f>IF(B561="","",C561-F561)</f>
      </c>
      <c r="J561" s="11">
        <f>IF(OR(B561="",G561=0),"",ROUND(I561/H561,2))</f>
      </c>
      <c r="K561" s="9">
        <f>IF(B561="","",IF(COUNTIF($B$2:B561,B561)=1,MAX($K$1:K560)+1,""))</f>
      </c>
    </row>
    <row r="562">
      <c r="G562" s="9">
        <f>IF(B562="","",D562+E562)</f>
      </c>
      <c r="H562" s="10">
        <f>IF(B562="","",ROUND(G562/60,2))</f>
      </c>
      <c r="I562" s="11">
        <f>IF(B562="","",C562-F562)</f>
      </c>
      <c r="J562" s="11">
        <f>IF(OR(B562="",G562=0),"",ROUND(I562/H562,2))</f>
      </c>
      <c r="K562" s="9">
        <f>IF(B562="","",IF(COUNTIF($B$2:B562,B562)=1,MAX($K$1:K561)+1,""))</f>
      </c>
    </row>
    <row r="563">
      <c r="G563" s="9">
        <f>IF(B563="","",D563+E563)</f>
      </c>
      <c r="H563" s="10">
        <f>IF(B563="","",ROUND(G563/60,2))</f>
      </c>
      <c r="I563" s="11">
        <f>IF(B563="","",C563-F563)</f>
      </c>
      <c r="J563" s="11">
        <f>IF(OR(B563="",G563=0),"",ROUND(I563/H563,2))</f>
      </c>
      <c r="K563" s="9">
        <f>IF(B563="","",IF(COUNTIF($B$2:B563,B563)=1,MAX($K$1:K562)+1,""))</f>
      </c>
    </row>
    <row r="564">
      <c r="G564" s="9">
        <f>IF(B564="","",D564+E564)</f>
      </c>
      <c r="H564" s="10">
        <f>IF(B564="","",ROUND(G564/60,2))</f>
      </c>
      <c r="I564" s="11">
        <f>IF(B564="","",C564-F564)</f>
      </c>
      <c r="J564" s="11">
        <f>IF(OR(B564="",G564=0),"",ROUND(I564/H564,2))</f>
      </c>
      <c r="K564" s="9">
        <f>IF(B564="","",IF(COUNTIF($B$2:B564,B564)=1,MAX($K$1:K563)+1,""))</f>
      </c>
    </row>
    <row r="565">
      <c r="G565" s="9">
        <f>IF(B565="","",D565+E565)</f>
      </c>
      <c r="H565" s="10">
        <f>IF(B565="","",ROUND(G565/60,2))</f>
      </c>
      <c r="I565" s="11">
        <f>IF(B565="","",C565-F565)</f>
      </c>
      <c r="J565" s="11">
        <f>IF(OR(B565="",G565=0),"",ROUND(I565/H565,2))</f>
      </c>
      <c r="K565" s="9">
        <f>IF(B565="","",IF(COUNTIF($B$2:B565,B565)=1,MAX($K$1:K564)+1,""))</f>
      </c>
    </row>
    <row r="566">
      <c r="G566" s="9">
        <f>IF(B566="","",D566+E566)</f>
      </c>
      <c r="H566" s="10">
        <f>IF(B566="","",ROUND(G566/60,2))</f>
      </c>
      <c r="I566" s="11">
        <f>IF(B566="","",C566-F566)</f>
      </c>
      <c r="J566" s="11">
        <f>IF(OR(B566="",G566=0),"",ROUND(I566/H566,2))</f>
      </c>
      <c r="K566" s="9">
        <f>IF(B566="","",IF(COUNTIF($B$2:B566,B566)=1,MAX($K$1:K565)+1,""))</f>
      </c>
    </row>
    <row r="567">
      <c r="G567" s="9">
        <f>IF(B567="","",D567+E567)</f>
      </c>
      <c r="H567" s="10">
        <f>IF(B567="","",ROUND(G567/60,2))</f>
      </c>
      <c r="I567" s="11">
        <f>IF(B567="","",C567-F567)</f>
      </c>
      <c r="J567" s="11">
        <f>IF(OR(B567="",G567=0),"",ROUND(I567/H567,2))</f>
      </c>
      <c r="K567" s="9">
        <f>IF(B567="","",IF(COUNTIF($B$2:B567,B567)=1,MAX($K$1:K566)+1,""))</f>
      </c>
    </row>
    <row r="568">
      <c r="G568" s="9">
        <f>IF(B568="","",D568+E568)</f>
      </c>
      <c r="H568" s="10">
        <f>IF(B568="","",ROUND(G568/60,2))</f>
      </c>
      <c r="I568" s="11">
        <f>IF(B568="","",C568-F568)</f>
      </c>
      <c r="J568" s="11">
        <f>IF(OR(B568="",G568=0),"",ROUND(I568/H568,2))</f>
      </c>
      <c r="K568" s="9">
        <f>IF(B568="","",IF(COUNTIF($B$2:B568,B568)=1,MAX($K$1:K567)+1,""))</f>
      </c>
    </row>
    <row r="569">
      <c r="G569" s="9">
        <f>IF(B569="","",D569+E569)</f>
      </c>
      <c r="H569" s="10">
        <f>IF(B569="","",ROUND(G569/60,2))</f>
      </c>
      <c r="I569" s="11">
        <f>IF(B569="","",C569-F569)</f>
      </c>
      <c r="J569" s="11">
        <f>IF(OR(B569="",G569=0),"",ROUND(I569/H569,2))</f>
      </c>
      <c r="K569" s="9">
        <f>IF(B569="","",IF(COUNTIF($B$2:B569,B569)=1,MAX($K$1:K568)+1,""))</f>
      </c>
    </row>
    <row r="570">
      <c r="G570" s="9">
        <f>IF(B570="","",D570+E570)</f>
      </c>
      <c r="H570" s="10">
        <f>IF(B570="","",ROUND(G570/60,2))</f>
      </c>
      <c r="I570" s="11">
        <f>IF(B570="","",C570-F570)</f>
      </c>
      <c r="J570" s="11">
        <f>IF(OR(B570="",G570=0),"",ROUND(I570/H570,2))</f>
      </c>
      <c r="K570" s="9">
        <f>IF(B570="","",IF(COUNTIF($B$2:B570,B570)=1,MAX($K$1:K569)+1,""))</f>
      </c>
    </row>
    <row r="571">
      <c r="G571" s="9">
        <f>IF(B571="","",D571+E571)</f>
      </c>
      <c r="H571" s="10">
        <f>IF(B571="","",ROUND(G571/60,2))</f>
      </c>
      <c r="I571" s="11">
        <f>IF(B571="","",C571-F571)</f>
      </c>
      <c r="J571" s="11">
        <f>IF(OR(B571="",G571=0),"",ROUND(I571/H571,2))</f>
      </c>
      <c r="K571" s="9">
        <f>IF(B571="","",IF(COUNTIF($B$2:B571,B571)=1,MAX($K$1:K570)+1,""))</f>
      </c>
    </row>
    <row r="572">
      <c r="G572" s="9">
        <f>IF(B572="","",D572+E572)</f>
      </c>
      <c r="H572" s="10">
        <f>IF(B572="","",ROUND(G572/60,2))</f>
      </c>
      <c r="I572" s="11">
        <f>IF(B572="","",C572-F572)</f>
      </c>
      <c r="J572" s="11">
        <f>IF(OR(B572="",G572=0),"",ROUND(I572/H572,2))</f>
      </c>
      <c r="K572" s="9">
        <f>IF(B572="","",IF(COUNTIF($B$2:B572,B572)=1,MAX($K$1:K571)+1,""))</f>
      </c>
    </row>
    <row r="573">
      <c r="G573" s="9">
        <f>IF(B573="","",D573+E573)</f>
      </c>
      <c r="H573" s="10">
        <f>IF(B573="","",ROUND(G573/60,2))</f>
      </c>
      <c r="I573" s="11">
        <f>IF(B573="","",C573-F573)</f>
      </c>
      <c r="J573" s="11">
        <f>IF(OR(B573="",G573=0),"",ROUND(I573/H573,2))</f>
      </c>
      <c r="K573" s="9">
        <f>IF(B573="","",IF(COUNTIF($B$2:B573,B573)=1,MAX($K$1:K572)+1,""))</f>
      </c>
    </row>
    <row r="574">
      <c r="G574" s="9">
        <f>IF(B574="","",D574+E574)</f>
      </c>
      <c r="H574" s="10">
        <f>IF(B574="","",ROUND(G574/60,2))</f>
      </c>
      <c r="I574" s="11">
        <f>IF(B574="","",C574-F574)</f>
      </c>
      <c r="J574" s="11">
        <f>IF(OR(B574="",G574=0),"",ROUND(I574/H574,2))</f>
      </c>
      <c r="K574" s="9">
        <f>IF(B574="","",IF(COUNTIF($B$2:B574,B574)=1,MAX($K$1:K573)+1,""))</f>
      </c>
    </row>
    <row r="575">
      <c r="G575" s="9">
        <f>IF(B575="","",D575+E575)</f>
      </c>
      <c r="H575" s="10">
        <f>IF(B575="","",ROUND(G575/60,2))</f>
      </c>
      <c r="I575" s="11">
        <f>IF(B575="","",C575-F575)</f>
      </c>
      <c r="J575" s="11">
        <f>IF(OR(B575="",G575=0),"",ROUND(I575/H575,2))</f>
      </c>
      <c r="K575" s="9">
        <f>IF(B575="","",IF(COUNTIF($B$2:B575,B575)=1,MAX($K$1:K574)+1,""))</f>
      </c>
    </row>
    <row r="576">
      <c r="G576" s="9">
        <f>IF(B576="","",D576+E576)</f>
      </c>
      <c r="H576" s="10">
        <f>IF(B576="","",ROUND(G576/60,2))</f>
      </c>
      <c r="I576" s="11">
        <f>IF(B576="","",C576-F576)</f>
      </c>
      <c r="J576" s="11">
        <f>IF(OR(B576="",G576=0),"",ROUND(I576/H576,2))</f>
      </c>
      <c r="K576" s="9">
        <f>IF(B576="","",IF(COUNTIF($B$2:B576,B576)=1,MAX($K$1:K575)+1,""))</f>
      </c>
    </row>
    <row r="577">
      <c r="G577" s="9">
        <f>IF(B577="","",D577+E577)</f>
      </c>
      <c r="H577" s="10">
        <f>IF(B577="","",ROUND(G577/60,2))</f>
      </c>
      <c r="I577" s="11">
        <f>IF(B577="","",C577-F577)</f>
      </c>
      <c r="J577" s="11">
        <f>IF(OR(B577="",G577=0),"",ROUND(I577/H577,2))</f>
      </c>
      <c r="K577" s="9">
        <f>IF(B577="","",IF(COUNTIF($B$2:B577,B577)=1,MAX($K$1:K576)+1,""))</f>
      </c>
    </row>
    <row r="578">
      <c r="G578" s="9">
        <f>IF(B578="","",D578+E578)</f>
      </c>
      <c r="H578" s="10">
        <f>IF(B578="","",ROUND(G578/60,2))</f>
      </c>
      <c r="I578" s="11">
        <f>IF(B578="","",C578-F578)</f>
      </c>
      <c r="J578" s="11">
        <f>IF(OR(B578="",G578=0),"",ROUND(I578/H578,2))</f>
      </c>
      <c r="K578" s="9">
        <f>IF(B578="","",IF(COUNTIF($B$2:B578,B578)=1,MAX($K$1:K577)+1,""))</f>
      </c>
    </row>
    <row r="579">
      <c r="G579" s="9">
        <f>IF(B579="","",D579+E579)</f>
      </c>
      <c r="H579" s="10">
        <f>IF(B579="","",ROUND(G579/60,2))</f>
      </c>
      <c r="I579" s="11">
        <f>IF(B579="","",C579-F579)</f>
      </c>
      <c r="J579" s="11">
        <f>IF(OR(B579="",G579=0),"",ROUND(I579/H579,2))</f>
      </c>
      <c r="K579" s="9">
        <f>IF(B579="","",IF(COUNTIF($B$2:B579,B579)=1,MAX($K$1:K578)+1,""))</f>
      </c>
    </row>
    <row r="580">
      <c r="G580" s="9">
        <f>IF(B580="","",D580+E580)</f>
      </c>
      <c r="H580" s="10">
        <f>IF(B580="","",ROUND(G580/60,2))</f>
      </c>
      <c r="I580" s="11">
        <f>IF(B580="","",C580-F580)</f>
      </c>
      <c r="J580" s="11">
        <f>IF(OR(B580="",G580=0),"",ROUND(I580/H580,2))</f>
      </c>
      <c r="K580" s="9">
        <f>IF(B580="","",IF(COUNTIF($B$2:B580,B580)=1,MAX($K$1:K579)+1,""))</f>
      </c>
    </row>
    <row r="581">
      <c r="G581" s="9">
        <f>IF(B581="","",D581+E581)</f>
      </c>
      <c r="H581" s="10">
        <f>IF(B581="","",ROUND(G581/60,2))</f>
      </c>
      <c r="I581" s="11">
        <f>IF(B581="","",C581-F581)</f>
      </c>
      <c r="J581" s="11">
        <f>IF(OR(B581="",G581=0),"",ROUND(I581/H581,2))</f>
      </c>
      <c r="K581" s="9">
        <f>IF(B581="","",IF(COUNTIF($B$2:B581,B581)=1,MAX($K$1:K580)+1,""))</f>
      </c>
    </row>
    <row r="582">
      <c r="G582" s="9">
        <f>IF(B582="","",D582+E582)</f>
      </c>
      <c r="H582" s="10">
        <f>IF(B582="","",ROUND(G582/60,2))</f>
      </c>
      <c r="I582" s="11">
        <f>IF(B582="","",C582-F582)</f>
      </c>
      <c r="J582" s="11">
        <f>IF(OR(B582="",G582=0),"",ROUND(I582/H582,2))</f>
      </c>
      <c r="K582" s="9">
        <f>IF(B582="","",IF(COUNTIF($B$2:B582,B582)=1,MAX($K$1:K581)+1,""))</f>
      </c>
    </row>
    <row r="583">
      <c r="G583" s="9">
        <f>IF(B583="","",D583+E583)</f>
      </c>
      <c r="H583" s="10">
        <f>IF(B583="","",ROUND(G583/60,2))</f>
      </c>
      <c r="I583" s="11">
        <f>IF(B583="","",C583-F583)</f>
      </c>
      <c r="J583" s="11">
        <f>IF(OR(B583="",G583=0),"",ROUND(I583/H583,2))</f>
      </c>
      <c r="K583" s="9">
        <f>IF(B583="","",IF(COUNTIF($B$2:B583,B583)=1,MAX($K$1:K582)+1,""))</f>
      </c>
    </row>
    <row r="584">
      <c r="G584" s="9">
        <f>IF(B584="","",D584+E584)</f>
      </c>
      <c r="H584" s="10">
        <f>IF(B584="","",ROUND(G584/60,2))</f>
      </c>
      <c r="I584" s="11">
        <f>IF(B584="","",C584-F584)</f>
      </c>
      <c r="J584" s="11">
        <f>IF(OR(B584="",G584=0),"",ROUND(I584/H584,2))</f>
      </c>
      <c r="K584" s="9">
        <f>IF(B584="","",IF(COUNTIF($B$2:B584,B584)=1,MAX($K$1:K583)+1,""))</f>
      </c>
    </row>
    <row r="585">
      <c r="G585" s="9">
        <f>IF(B585="","",D585+E585)</f>
      </c>
      <c r="H585" s="10">
        <f>IF(B585="","",ROUND(G585/60,2))</f>
      </c>
      <c r="I585" s="11">
        <f>IF(B585="","",C585-F585)</f>
      </c>
      <c r="J585" s="11">
        <f>IF(OR(B585="",G585=0),"",ROUND(I585/H585,2))</f>
      </c>
      <c r="K585" s="9">
        <f>IF(B585="","",IF(COUNTIF($B$2:B585,B585)=1,MAX($K$1:K584)+1,""))</f>
      </c>
    </row>
    <row r="586">
      <c r="G586" s="9">
        <f>IF(B586="","",D586+E586)</f>
      </c>
      <c r="H586" s="10">
        <f>IF(B586="","",ROUND(G586/60,2))</f>
      </c>
      <c r="I586" s="11">
        <f>IF(B586="","",C586-F586)</f>
      </c>
      <c r="J586" s="11">
        <f>IF(OR(B586="",G586=0),"",ROUND(I586/H586,2))</f>
      </c>
      <c r="K586" s="9">
        <f>IF(B586="","",IF(COUNTIF($B$2:B586,B586)=1,MAX($K$1:K585)+1,""))</f>
      </c>
    </row>
    <row r="587">
      <c r="G587" s="9">
        <f>IF(B587="","",D587+E587)</f>
      </c>
      <c r="H587" s="10">
        <f>IF(B587="","",ROUND(G587/60,2))</f>
      </c>
      <c r="I587" s="11">
        <f>IF(B587="","",C587-F587)</f>
      </c>
      <c r="J587" s="11">
        <f>IF(OR(B587="",G587=0),"",ROUND(I587/H587,2))</f>
      </c>
      <c r="K587" s="9">
        <f>IF(B587="","",IF(COUNTIF($B$2:B587,B587)=1,MAX($K$1:K586)+1,""))</f>
      </c>
    </row>
    <row r="588">
      <c r="G588" s="9">
        <f>IF(B588="","",D588+E588)</f>
      </c>
      <c r="H588" s="10">
        <f>IF(B588="","",ROUND(G588/60,2))</f>
      </c>
      <c r="I588" s="11">
        <f>IF(B588="","",C588-F588)</f>
      </c>
      <c r="J588" s="11">
        <f>IF(OR(B588="",G588=0),"",ROUND(I588/H588,2))</f>
      </c>
      <c r="K588" s="9">
        <f>IF(B588="","",IF(COUNTIF($B$2:B588,B588)=1,MAX($K$1:K587)+1,""))</f>
      </c>
    </row>
    <row r="589">
      <c r="G589" s="9">
        <f>IF(B589="","",D589+E589)</f>
      </c>
      <c r="H589" s="10">
        <f>IF(B589="","",ROUND(G589/60,2))</f>
      </c>
      <c r="I589" s="11">
        <f>IF(B589="","",C589-F589)</f>
      </c>
      <c r="J589" s="11">
        <f>IF(OR(B589="",G589=0),"",ROUND(I589/H589,2))</f>
      </c>
      <c r="K589" s="9">
        <f>IF(B589="","",IF(COUNTIF($B$2:B589,B589)=1,MAX($K$1:K588)+1,""))</f>
      </c>
    </row>
    <row r="590">
      <c r="G590" s="9">
        <f>IF(B590="","",D590+E590)</f>
      </c>
      <c r="H590" s="10">
        <f>IF(B590="","",ROUND(G590/60,2))</f>
      </c>
      <c r="I590" s="11">
        <f>IF(B590="","",C590-F590)</f>
      </c>
      <c r="J590" s="11">
        <f>IF(OR(B590="",G590=0),"",ROUND(I590/H590,2))</f>
      </c>
      <c r="K590" s="9">
        <f>IF(B590="","",IF(COUNTIF($B$2:B590,B590)=1,MAX($K$1:K589)+1,""))</f>
      </c>
    </row>
    <row r="591">
      <c r="G591" s="9">
        <f>IF(B591="","",D591+E591)</f>
      </c>
      <c r="H591" s="10">
        <f>IF(B591="","",ROUND(G591/60,2))</f>
      </c>
      <c r="I591" s="11">
        <f>IF(B591="","",C591-F591)</f>
      </c>
      <c r="J591" s="11">
        <f>IF(OR(B591="",G591=0),"",ROUND(I591/H591,2))</f>
      </c>
      <c r="K591" s="9">
        <f>IF(B591="","",IF(COUNTIF($B$2:B591,B591)=1,MAX($K$1:K590)+1,""))</f>
      </c>
    </row>
    <row r="592">
      <c r="G592" s="9">
        <f>IF(B592="","",D592+E592)</f>
      </c>
      <c r="H592" s="10">
        <f>IF(B592="","",ROUND(G592/60,2))</f>
      </c>
      <c r="I592" s="11">
        <f>IF(B592="","",C592-F592)</f>
      </c>
      <c r="J592" s="11">
        <f>IF(OR(B592="",G592=0),"",ROUND(I592/H592,2))</f>
      </c>
      <c r="K592" s="9">
        <f>IF(B592="","",IF(COUNTIF($B$2:B592,B592)=1,MAX($K$1:K591)+1,""))</f>
      </c>
    </row>
    <row r="593">
      <c r="G593" s="9">
        <f>IF(B593="","",D593+E593)</f>
      </c>
      <c r="H593" s="10">
        <f>IF(B593="","",ROUND(G593/60,2))</f>
      </c>
      <c r="I593" s="11">
        <f>IF(B593="","",C593-F593)</f>
      </c>
      <c r="J593" s="11">
        <f>IF(OR(B593="",G593=0),"",ROUND(I593/H593,2))</f>
      </c>
      <c r="K593" s="9">
        <f>IF(B593="","",IF(COUNTIF($B$2:B593,B593)=1,MAX($K$1:K592)+1,""))</f>
      </c>
    </row>
    <row r="594">
      <c r="G594" s="9">
        <f>IF(B594="","",D594+E594)</f>
      </c>
      <c r="H594" s="10">
        <f>IF(B594="","",ROUND(G594/60,2))</f>
      </c>
      <c r="I594" s="11">
        <f>IF(B594="","",C594-F594)</f>
      </c>
      <c r="J594" s="11">
        <f>IF(OR(B594="",G594=0),"",ROUND(I594/H594,2))</f>
      </c>
      <c r="K594" s="9">
        <f>IF(B594="","",IF(COUNTIF($B$2:B594,B594)=1,MAX($K$1:K593)+1,""))</f>
      </c>
    </row>
    <row r="595">
      <c r="G595" s="9">
        <f>IF(B595="","",D595+E595)</f>
      </c>
      <c r="H595" s="10">
        <f>IF(B595="","",ROUND(G595/60,2))</f>
      </c>
      <c r="I595" s="11">
        <f>IF(B595="","",C595-F595)</f>
      </c>
      <c r="J595" s="11">
        <f>IF(OR(B595="",G595=0),"",ROUND(I595/H595,2))</f>
      </c>
      <c r="K595" s="9">
        <f>IF(B595="","",IF(COUNTIF($B$2:B595,B595)=1,MAX($K$1:K594)+1,""))</f>
      </c>
    </row>
    <row r="596">
      <c r="G596" s="9">
        <f>IF(B596="","",D596+E596)</f>
      </c>
      <c r="H596" s="10">
        <f>IF(B596="","",ROUND(G596/60,2))</f>
      </c>
      <c r="I596" s="11">
        <f>IF(B596="","",C596-F596)</f>
      </c>
      <c r="J596" s="11">
        <f>IF(OR(B596="",G596=0),"",ROUND(I596/H596,2))</f>
      </c>
      <c r="K596" s="9">
        <f>IF(B596="","",IF(COUNTIF($B$2:B596,B596)=1,MAX($K$1:K595)+1,""))</f>
      </c>
    </row>
    <row r="597">
      <c r="G597" s="9">
        <f>IF(B597="","",D597+E597)</f>
      </c>
      <c r="H597" s="10">
        <f>IF(B597="","",ROUND(G597/60,2))</f>
      </c>
      <c r="I597" s="11">
        <f>IF(B597="","",C597-F597)</f>
      </c>
      <c r="J597" s="11">
        <f>IF(OR(B597="",G597=0),"",ROUND(I597/H597,2))</f>
      </c>
      <c r="K597" s="9">
        <f>IF(B597="","",IF(COUNTIF($B$2:B597,B597)=1,MAX($K$1:K596)+1,""))</f>
      </c>
    </row>
    <row r="598">
      <c r="G598" s="9">
        <f>IF(B598="","",D598+E598)</f>
      </c>
      <c r="H598" s="10">
        <f>IF(B598="","",ROUND(G598/60,2))</f>
      </c>
      <c r="I598" s="11">
        <f>IF(B598="","",C598-F598)</f>
      </c>
      <c r="J598" s="11">
        <f>IF(OR(B598="",G598=0),"",ROUND(I598/H598,2))</f>
      </c>
      <c r="K598" s="9">
        <f>IF(B598="","",IF(COUNTIF($B$2:B598,B598)=1,MAX($K$1:K597)+1,""))</f>
      </c>
    </row>
    <row r="599">
      <c r="G599" s="9">
        <f>IF(B599="","",D599+E599)</f>
      </c>
      <c r="H599" s="10">
        <f>IF(B599="","",ROUND(G599/60,2))</f>
      </c>
      <c r="I599" s="11">
        <f>IF(B599="","",C599-F599)</f>
      </c>
      <c r="J599" s="11">
        <f>IF(OR(B599="",G599=0),"",ROUND(I599/H599,2))</f>
      </c>
      <c r="K599" s="9">
        <f>IF(B599="","",IF(COUNTIF($B$2:B599,B599)=1,MAX($K$1:K598)+1,""))</f>
      </c>
    </row>
    <row r="600">
      <c r="G600" s="9">
        <f>IF(B600="","",D600+E600)</f>
      </c>
      <c r="H600" s="10">
        <f>IF(B600="","",ROUND(G600/60,2))</f>
      </c>
      <c r="I600" s="11">
        <f>IF(B600="","",C600-F600)</f>
      </c>
      <c r="J600" s="11">
        <f>IF(OR(B600="",G600=0),"",ROUND(I600/H600,2))</f>
      </c>
      <c r="K600" s="9">
        <f>IF(B600="","",IF(COUNTIF($B$2:B600,B600)=1,MAX($K$1:K599)+1,""))</f>
      </c>
    </row>
    <row r="601">
      <c r="G601" s="9">
        <f>IF(B601="","",D601+E601)</f>
      </c>
      <c r="H601" s="10">
        <f>IF(B601="","",ROUND(G601/60,2))</f>
      </c>
      <c r="I601" s="11">
        <f>IF(B601="","",C601-F601)</f>
      </c>
      <c r="J601" s="11">
        <f>IF(OR(B601="",G601=0),"",ROUND(I601/H601,2))</f>
      </c>
      <c r="K601" s="9">
        <f>IF(B601="","",IF(COUNTIF($B$2:B601,B601)=1,MAX($K$1:K600)+1,""))</f>
      </c>
    </row>
    <row r="602">
      <c r="G602" s="9">
        <f>IF(B602="","",D602+E602)</f>
      </c>
      <c r="H602" s="10">
        <f>IF(B602="","",ROUND(G602/60,2))</f>
      </c>
      <c r="I602" s="11">
        <f>IF(B602="","",C602-F602)</f>
      </c>
      <c r="J602" s="11">
        <f>IF(OR(B602="",G602=0),"",ROUND(I602/H602,2))</f>
      </c>
      <c r="K602" s="9">
        <f>IF(B602="","",IF(COUNTIF($B$2:B602,B602)=1,MAX($K$1:K601)+1,""))</f>
      </c>
    </row>
    <row r="603">
      <c r="G603" s="9">
        <f>IF(B603="","",D603+E603)</f>
      </c>
      <c r="H603" s="10">
        <f>IF(B603="","",ROUND(G603/60,2))</f>
      </c>
      <c r="I603" s="11">
        <f>IF(B603="","",C603-F603)</f>
      </c>
      <c r="J603" s="11">
        <f>IF(OR(B603="",G603=0),"",ROUND(I603/H603,2))</f>
      </c>
      <c r="K603" s="9">
        <f>IF(B603="","",IF(COUNTIF($B$2:B603,B603)=1,MAX($K$1:K602)+1,""))</f>
      </c>
    </row>
    <row r="604">
      <c r="G604" s="9">
        <f>IF(B604="","",D604+E604)</f>
      </c>
      <c r="H604" s="10">
        <f>IF(B604="","",ROUND(G604/60,2))</f>
      </c>
      <c r="I604" s="11">
        <f>IF(B604="","",C604-F604)</f>
      </c>
      <c r="J604" s="11">
        <f>IF(OR(B604="",G604=0),"",ROUND(I604/H604,2))</f>
      </c>
      <c r="K604" s="9">
        <f>IF(B604="","",IF(COUNTIF($B$2:B604,B604)=1,MAX($K$1:K603)+1,""))</f>
      </c>
    </row>
    <row r="605">
      <c r="G605" s="9">
        <f>IF(B605="","",D605+E605)</f>
      </c>
      <c r="H605" s="10">
        <f>IF(B605="","",ROUND(G605/60,2))</f>
      </c>
      <c r="I605" s="11">
        <f>IF(B605="","",C605-F605)</f>
      </c>
      <c r="J605" s="11">
        <f>IF(OR(B605="",G605=0),"",ROUND(I605/H605,2))</f>
      </c>
      <c r="K605" s="9">
        <f>IF(B605="","",IF(COUNTIF($B$2:B605,B605)=1,MAX($K$1:K604)+1,""))</f>
      </c>
    </row>
    <row r="606">
      <c r="G606" s="9">
        <f>IF(B606="","",D606+E606)</f>
      </c>
      <c r="H606" s="10">
        <f>IF(B606="","",ROUND(G606/60,2))</f>
      </c>
      <c r="I606" s="11">
        <f>IF(B606="","",C606-F606)</f>
      </c>
      <c r="J606" s="11">
        <f>IF(OR(B606="",G606=0),"",ROUND(I606/H606,2))</f>
      </c>
      <c r="K606" s="9">
        <f>IF(B606="","",IF(COUNTIF($B$2:B606,B606)=1,MAX($K$1:K605)+1,""))</f>
      </c>
    </row>
    <row r="607">
      <c r="G607" s="9">
        <f>IF(B607="","",D607+E607)</f>
      </c>
      <c r="H607" s="10">
        <f>IF(B607="","",ROUND(G607/60,2))</f>
      </c>
      <c r="I607" s="11">
        <f>IF(B607="","",C607-F607)</f>
      </c>
      <c r="J607" s="11">
        <f>IF(OR(B607="",G607=0),"",ROUND(I607/H607,2))</f>
      </c>
      <c r="K607" s="9">
        <f>IF(B607="","",IF(COUNTIF($B$2:B607,B607)=1,MAX($K$1:K606)+1,""))</f>
      </c>
    </row>
    <row r="608">
      <c r="G608" s="9">
        <f>IF(B608="","",D608+E608)</f>
      </c>
      <c r="H608" s="10">
        <f>IF(B608="","",ROUND(G608/60,2))</f>
      </c>
      <c r="I608" s="11">
        <f>IF(B608="","",C608-F608)</f>
      </c>
      <c r="J608" s="11">
        <f>IF(OR(B608="",G608=0),"",ROUND(I608/H608,2))</f>
      </c>
      <c r="K608" s="9">
        <f>IF(B608="","",IF(COUNTIF($B$2:B608,B608)=1,MAX($K$1:K607)+1,""))</f>
      </c>
    </row>
    <row r="609">
      <c r="G609" s="9">
        <f>IF(B609="","",D609+E609)</f>
      </c>
      <c r="H609" s="10">
        <f>IF(B609="","",ROUND(G609/60,2))</f>
      </c>
      <c r="I609" s="11">
        <f>IF(B609="","",C609-F609)</f>
      </c>
      <c r="J609" s="11">
        <f>IF(OR(B609="",G609=0),"",ROUND(I609/H609,2))</f>
      </c>
      <c r="K609" s="9">
        <f>IF(B609="","",IF(COUNTIF($B$2:B609,B609)=1,MAX($K$1:K608)+1,""))</f>
      </c>
    </row>
    <row r="610">
      <c r="G610" s="9">
        <f>IF(B610="","",D610+E610)</f>
      </c>
      <c r="H610" s="10">
        <f>IF(B610="","",ROUND(G610/60,2))</f>
      </c>
      <c r="I610" s="11">
        <f>IF(B610="","",C610-F610)</f>
      </c>
      <c r="J610" s="11">
        <f>IF(OR(B610="",G610=0),"",ROUND(I610/H610,2))</f>
      </c>
      <c r="K610" s="9">
        <f>IF(B610="","",IF(COUNTIF($B$2:B610,B610)=1,MAX($K$1:K609)+1,""))</f>
      </c>
    </row>
    <row r="611">
      <c r="G611" s="9">
        <f>IF(B611="","",D611+E611)</f>
      </c>
      <c r="H611" s="10">
        <f>IF(B611="","",ROUND(G611/60,2))</f>
      </c>
      <c r="I611" s="11">
        <f>IF(B611="","",C611-F611)</f>
      </c>
      <c r="J611" s="11">
        <f>IF(OR(B611="",G611=0),"",ROUND(I611/H611,2))</f>
      </c>
      <c r="K611" s="9">
        <f>IF(B611="","",IF(COUNTIF($B$2:B611,B611)=1,MAX($K$1:K610)+1,""))</f>
      </c>
    </row>
    <row r="612">
      <c r="G612" s="9">
        <f>IF(B612="","",D612+E612)</f>
      </c>
      <c r="H612" s="10">
        <f>IF(B612="","",ROUND(G612/60,2))</f>
      </c>
      <c r="I612" s="11">
        <f>IF(B612="","",C612-F612)</f>
      </c>
      <c r="J612" s="11">
        <f>IF(OR(B612="",G612=0),"",ROUND(I612/H612,2))</f>
      </c>
      <c r="K612" s="9">
        <f>IF(B612="","",IF(COUNTIF($B$2:B612,B612)=1,MAX($K$1:K611)+1,""))</f>
      </c>
    </row>
    <row r="613">
      <c r="G613" s="9">
        <f>IF(B613="","",D613+E613)</f>
      </c>
      <c r="H613" s="10">
        <f>IF(B613="","",ROUND(G613/60,2))</f>
      </c>
      <c r="I613" s="11">
        <f>IF(B613="","",C613-F613)</f>
      </c>
      <c r="J613" s="11">
        <f>IF(OR(B613="",G613=0),"",ROUND(I613/H613,2))</f>
      </c>
      <c r="K613" s="9">
        <f>IF(B613="","",IF(COUNTIF($B$2:B613,B613)=1,MAX($K$1:K612)+1,""))</f>
      </c>
    </row>
    <row r="614">
      <c r="G614" s="9">
        <f>IF(B614="","",D614+E614)</f>
      </c>
      <c r="H614" s="10">
        <f>IF(B614="","",ROUND(G614/60,2))</f>
      </c>
      <c r="I614" s="11">
        <f>IF(B614="","",C614-F614)</f>
      </c>
      <c r="J614" s="11">
        <f>IF(OR(B614="",G614=0),"",ROUND(I614/H614,2))</f>
      </c>
      <c r="K614" s="9">
        <f>IF(B614="","",IF(COUNTIF($B$2:B614,B614)=1,MAX($K$1:K613)+1,""))</f>
      </c>
    </row>
    <row r="615">
      <c r="G615" s="9">
        <f>IF(B615="","",D615+E615)</f>
      </c>
      <c r="H615" s="10">
        <f>IF(B615="","",ROUND(G615/60,2))</f>
      </c>
      <c r="I615" s="11">
        <f>IF(B615="","",C615-F615)</f>
      </c>
      <c r="J615" s="11">
        <f>IF(OR(B615="",G615=0),"",ROUND(I615/H615,2))</f>
      </c>
      <c r="K615" s="9">
        <f>IF(B615="","",IF(COUNTIF($B$2:B615,B615)=1,MAX($K$1:K614)+1,""))</f>
      </c>
    </row>
    <row r="616">
      <c r="G616" s="9">
        <f>IF(B616="","",D616+E616)</f>
      </c>
      <c r="H616" s="10">
        <f>IF(B616="","",ROUND(G616/60,2))</f>
      </c>
      <c r="I616" s="11">
        <f>IF(B616="","",C616-F616)</f>
      </c>
      <c r="J616" s="11">
        <f>IF(OR(B616="",G616=0),"",ROUND(I616/H616,2))</f>
      </c>
      <c r="K616" s="9">
        <f>IF(B616="","",IF(COUNTIF($B$2:B616,B616)=1,MAX($K$1:K615)+1,""))</f>
      </c>
    </row>
    <row r="617">
      <c r="G617" s="9">
        <f>IF(B617="","",D617+E617)</f>
      </c>
      <c r="H617" s="10">
        <f>IF(B617="","",ROUND(G617/60,2))</f>
      </c>
      <c r="I617" s="11">
        <f>IF(B617="","",C617-F617)</f>
      </c>
      <c r="J617" s="11">
        <f>IF(OR(B617="",G617=0),"",ROUND(I617/H617,2))</f>
      </c>
      <c r="K617" s="9">
        <f>IF(B617="","",IF(COUNTIF($B$2:B617,B617)=1,MAX($K$1:K616)+1,""))</f>
      </c>
    </row>
    <row r="618">
      <c r="G618" s="9">
        <f>IF(B618="","",D618+E618)</f>
      </c>
      <c r="H618" s="10">
        <f>IF(B618="","",ROUND(G618/60,2))</f>
      </c>
      <c r="I618" s="11">
        <f>IF(B618="","",C618-F618)</f>
      </c>
      <c r="J618" s="11">
        <f>IF(OR(B618="",G618=0),"",ROUND(I618/H618,2))</f>
      </c>
      <c r="K618" s="9">
        <f>IF(B618="","",IF(COUNTIF($B$2:B618,B618)=1,MAX($K$1:K617)+1,""))</f>
      </c>
    </row>
    <row r="619">
      <c r="G619" s="9">
        <f>IF(B619="","",D619+E619)</f>
      </c>
      <c r="H619" s="10">
        <f>IF(B619="","",ROUND(G619/60,2))</f>
      </c>
      <c r="I619" s="11">
        <f>IF(B619="","",C619-F619)</f>
      </c>
      <c r="J619" s="11">
        <f>IF(OR(B619="",G619=0),"",ROUND(I619/H619,2))</f>
      </c>
      <c r="K619" s="9">
        <f>IF(B619="","",IF(COUNTIF($B$2:B619,B619)=1,MAX($K$1:K618)+1,""))</f>
      </c>
    </row>
    <row r="620">
      <c r="G620" s="9">
        <f>IF(B620="","",D620+E620)</f>
      </c>
      <c r="H620" s="10">
        <f>IF(B620="","",ROUND(G620/60,2))</f>
      </c>
      <c r="I620" s="11">
        <f>IF(B620="","",C620-F620)</f>
      </c>
      <c r="J620" s="11">
        <f>IF(OR(B620="",G620=0),"",ROUND(I620/H620,2))</f>
      </c>
      <c r="K620" s="9">
        <f>IF(B620="","",IF(COUNTIF($B$2:B620,B620)=1,MAX($K$1:K619)+1,""))</f>
      </c>
    </row>
    <row r="621">
      <c r="G621" s="9">
        <f>IF(B621="","",D621+E621)</f>
      </c>
      <c r="H621" s="10">
        <f>IF(B621="","",ROUND(G621/60,2))</f>
      </c>
      <c r="I621" s="11">
        <f>IF(B621="","",C621-F621)</f>
      </c>
      <c r="J621" s="11">
        <f>IF(OR(B621="",G621=0),"",ROUND(I621/H621,2))</f>
      </c>
      <c r="K621" s="9">
        <f>IF(B621="","",IF(COUNTIF($B$2:B621,B621)=1,MAX($K$1:K620)+1,""))</f>
      </c>
    </row>
    <row r="622">
      <c r="G622" s="9">
        <f>IF(B622="","",D622+E622)</f>
      </c>
      <c r="H622" s="10">
        <f>IF(B622="","",ROUND(G622/60,2))</f>
      </c>
      <c r="I622" s="11">
        <f>IF(B622="","",C622-F622)</f>
      </c>
      <c r="J622" s="11">
        <f>IF(OR(B622="",G622=0),"",ROUND(I622/H622,2))</f>
      </c>
      <c r="K622" s="9">
        <f>IF(B622="","",IF(COUNTIF($B$2:B622,B622)=1,MAX($K$1:K621)+1,""))</f>
      </c>
    </row>
    <row r="623">
      <c r="G623" s="9">
        <f>IF(B623="","",D623+E623)</f>
      </c>
      <c r="H623" s="10">
        <f>IF(B623="","",ROUND(G623/60,2))</f>
      </c>
      <c r="I623" s="11">
        <f>IF(B623="","",C623-F623)</f>
      </c>
      <c r="J623" s="11">
        <f>IF(OR(B623="",G623=0),"",ROUND(I623/H623,2))</f>
      </c>
      <c r="K623" s="9">
        <f>IF(B623="","",IF(COUNTIF($B$2:B623,B623)=1,MAX($K$1:K622)+1,""))</f>
      </c>
    </row>
    <row r="624">
      <c r="G624" s="9">
        <f>IF(B624="","",D624+E624)</f>
      </c>
      <c r="H624" s="10">
        <f>IF(B624="","",ROUND(G624/60,2))</f>
      </c>
      <c r="I624" s="11">
        <f>IF(B624="","",C624-F624)</f>
      </c>
      <c r="J624" s="11">
        <f>IF(OR(B624="",G624=0),"",ROUND(I624/H624,2))</f>
      </c>
      <c r="K624" s="9">
        <f>IF(B624="","",IF(COUNTIF($B$2:B624,B624)=1,MAX($K$1:K623)+1,""))</f>
      </c>
    </row>
    <row r="625">
      <c r="G625" s="9">
        <f>IF(B625="","",D625+E625)</f>
      </c>
      <c r="H625" s="10">
        <f>IF(B625="","",ROUND(G625/60,2))</f>
      </c>
      <c r="I625" s="11">
        <f>IF(B625="","",C625-F625)</f>
      </c>
      <c r="J625" s="11">
        <f>IF(OR(B625="",G625=0),"",ROUND(I625/H625,2))</f>
      </c>
      <c r="K625" s="9">
        <f>IF(B625="","",IF(COUNTIF($B$2:B625,B625)=1,MAX($K$1:K624)+1,""))</f>
      </c>
    </row>
    <row r="626">
      <c r="G626" s="9">
        <f>IF(B626="","",D626+E626)</f>
      </c>
      <c r="H626" s="10">
        <f>IF(B626="","",ROUND(G626/60,2))</f>
      </c>
      <c r="I626" s="11">
        <f>IF(B626="","",C626-F626)</f>
      </c>
      <c r="J626" s="11">
        <f>IF(OR(B626="",G626=0),"",ROUND(I626/H626,2))</f>
      </c>
      <c r="K626" s="9">
        <f>IF(B626="","",IF(COUNTIF($B$2:B626,B626)=1,MAX($K$1:K625)+1,""))</f>
      </c>
    </row>
    <row r="627">
      <c r="G627" s="9">
        <f>IF(B627="","",D627+E627)</f>
      </c>
      <c r="H627" s="10">
        <f>IF(B627="","",ROUND(G627/60,2))</f>
      </c>
      <c r="I627" s="11">
        <f>IF(B627="","",C627-F627)</f>
      </c>
      <c r="J627" s="11">
        <f>IF(OR(B627="",G627=0),"",ROUND(I627/H627,2))</f>
      </c>
      <c r="K627" s="9">
        <f>IF(B627="","",IF(COUNTIF($B$2:B627,B627)=1,MAX($K$1:K626)+1,""))</f>
      </c>
    </row>
    <row r="628">
      <c r="G628" s="9">
        <f>IF(B628="","",D628+E628)</f>
      </c>
      <c r="H628" s="10">
        <f>IF(B628="","",ROUND(G628/60,2))</f>
      </c>
      <c r="I628" s="11">
        <f>IF(B628="","",C628-F628)</f>
      </c>
      <c r="J628" s="11">
        <f>IF(OR(B628="",G628=0),"",ROUND(I628/H628,2))</f>
      </c>
      <c r="K628" s="9">
        <f>IF(B628="","",IF(COUNTIF($B$2:B628,B628)=1,MAX($K$1:K627)+1,""))</f>
      </c>
    </row>
    <row r="629">
      <c r="G629" s="9">
        <f>IF(B629="","",D629+E629)</f>
      </c>
      <c r="H629" s="10">
        <f>IF(B629="","",ROUND(G629/60,2))</f>
      </c>
      <c r="I629" s="11">
        <f>IF(B629="","",C629-F629)</f>
      </c>
      <c r="J629" s="11">
        <f>IF(OR(B629="",G629=0),"",ROUND(I629/H629,2))</f>
      </c>
      <c r="K629" s="9">
        <f>IF(B629="","",IF(COUNTIF($B$2:B629,B629)=1,MAX($K$1:K628)+1,""))</f>
      </c>
    </row>
    <row r="630">
      <c r="G630" s="9">
        <f>IF(B630="","",D630+E630)</f>
      </c>
      <c r="H630" s="10">
        <f>IF(B630="","",ROUND(G630/60,2))</f>
      </c>
      <c r="I630" s="11">
        <f>IF(B630="","",C630-F630)</f>
      </c>
      <c r="J630" s="11">
        <f>IF(OR(B630="",G630=0),"",ROUND(I630/H630,2))</f>
      </c>
      <c r="K630" s="9">
        <f>IF(B630="","",IF(COUNTIF($B$2:B630,B630)=1,MAX($K$1:K629)+1,""))</f>
      </c>
    </row>
    <row r="631">
      <c r="G631" s="9">
        <f>IF(B631="","",D631+E631)</f>
      </c>
      <c r="H631" s="10">
        <f>IF(B631="","",ROUND(G631/60,2))</f>
      </c>
      <c r="I631" s="11">
        <f>IF(B631="","",C631-F631)</f>
      </c>
      <c r="J631" s="11">
        <f>IF(OR(B631="",G631=0),"",ROUND(I631/H631,2))</f>
      </c>
      <c r="K631" s="9">
        <f>IF(B631="","",IF(COUNTIF($B$2:B631,B631)=1,MAX($K$1:K630)+1,""))</f>
      </c>
    </row>
    <row r="632">
      <c r="G632" s="9">
        <f>IF(B632="","",D632+E632)</f>
      </c>
      <c r="H632" s="10">
        <f>IF(B632="","",ROUND(G632/60,2))</f>
      </c>
      <c r="I632" s="11">
        <f>IF(B632="","",C632-F632)</f>
      </c>
      <c r="J632" s="11">
        <f>IF(OR(B632="",G632=0),"",ROUND(I632/H632,2))</f>
      </c>
      <c r="K632" s="9">
        <f>IF(B632="","",IF(COUNTIF($B$2:B632,B632)=1,MAX($K$1:K631)+1,""))</f>
      </c>
    </row>
    <row r="633">
      <c r="G633" s="9">
        <f>IF(B633="","",D633+E633)</f>
      </c>
      <c r="H633" s="10">
        <f>IF(B633="","",ROUND(G633/60,2))</f>
      </c>
      <c r="I633" s="11">
        <f>IF(B633="","",C633-F633)</f>
      </c>
      <c r="J633" s="11">
        <f>IF(OR(B633="",G633=0),"",ROUND(I633/H633,2))</f>
      </c>
      <c r="K633" s="9">
        <f>IF(B633="","",IF(COUNTIF($B$2:B633,B633)=1,MAX($K$1:K632)+1,""))</f>
      </c>
    </row>
    <row r="634">
      <c r="G634" s="9">
        <f>IF(B634="","",D634+E634)</f>
      </c>
      <c r="H634" s="10">
        <f>IF(B634="","",ROUND(G634/60,2))</f>
      </c>
      <c r="I634" s="11">
        <f>IF(B634="","",C634-F634)</f>
      </c>
      <c r="J634" s="11">
        <f>IF(OR(B634="",G634=0),"",ROUND(I634/H634,2))</f>
      </c>
      <c r="K634" s="9">
        <f>IF(B634="","",IF(COUNTIF($B$2:B634,B634)=1,MAX($K$1:K633)+1,""))</f>
      </c>
    </row>
    <row r="635">
      <c r="G635" s="9">
        <f>IF(B635="","",D635+E635)</f>
      </c>
      <c r="H635" s="10">
        <f>IF(B635="","",ROUND(G635/60,2))</f>
      </c>
      <c r="I635" s="11">
        <f>IF(B635="","",C635-F635)</f>
      </c>
      <c r="J635" s="11">
        <f>IF(OR(B635="",G635=0),"",ROUND(I635/H635,2))</f>
      </c>
      <c r="K635" s="9">
        <f>IF(B635="","",IF(COUNTIF($B$2:B635,B635)=1,MAX($K$1:K634)+1,""))</f>
      </c>
    </row>
    <row r="636">
      <c r="G636" s="9">
        <f>IF(B636="","",D636+E636)</f>
      </c>
      <c r="H636" s="10">
        <f>IF(B636="","",ROUND(G636/60,2))</f>
      </c>
      <c r="I636" s="11">
        <f>IF(B636="","",C636-F636)</f>
      </c>
      <c r="J636" s="11">
        <f>IF(OR(B636="",G636=0),"",ROUND(I636/H636,2))</f>
      </c>
      <c r="K636" s="9">
        <f>IF(B636="","",IF(COUNTIF($B$2:B636,B636)=1,MAX($K$1:K635)+1,""))</f>
      </c>
    </row>
    <row r="637">
      <c r="G637" s="9">
        <f>IF(B637="","",D637+E637)</f>
      </c>
      <c r="H637" s="10">
        <f>IF(B637="","",ROUND(G637/60,2))</f>
      </c>
      <c r="I637" s="11">
        <f>IF(B637="","",C637-F637)</f>
      </c>
      <c r="J637" s="11">
        <f>IF(OR(B637="",G637=0),"",ROUND(I637/H637,2))</f>
      </c>
      <c r="K637" s="9">
        <f>IF(B637="","",IF(COUNTIF($B$2:B637,B637)=1,MAX($K$1:K636)+1,""))</f>
      </c>
    </row>
    <row r="638">
      <c r="G638" s="9">
        <f>IF(B638="","",D638+E638)</f>
      </c>
      <c r="H638" s="10">
        <f>IF(B638="","",ROUND(G638/60,2))</f>
      </c>
      <c r="I638" s="11">
        <f>IF(B638="","",C638-F638)</f>
      </c>
      <c r="J638" s="11">
        <f>IF(OR(B638="",G638=0),"",ROUND(I638/H638,2))</f>
      </c>
      <c r="K638" s="9">
        <f>IF(B638="","",IF(COUNTIF($B$2:B638,B638)=1,MAX($K$1:K637)+1,""))</f>
      </c>
    </row>
    <row r="639">
      <c r="G639" s="9">
        <f>IF(B639="","",D639+E639)</f>
      </c>
      <c r="H639" s="10">
        <f>IF(B639="","",ROUND(G639/60,2))</f>
      </c>
      <c r="I639" s="11">
        <f>IF(B639="","",C639-F639)</f>
      </c>
      <c r="J639" s="11">
        <f>IF(OR(B639="",G639=0),"",ROUND(I639/H639,2))</f>
      </c>
      <c r="K639" s="9">
        <f>IF(B639="","",IF(COUNTIF($B$2:B639,B639)=1,MAX($K$1:K638)+1,""))</f>
      </c>
    </row>
    <row r="640">
      <c r="G640" s="9">
        <f>IF(B640="","",D640+E640)</f>
      </c>
      <c r="H640" s="10">
        <f>IF(B640="","",ROUND(G640/60,2))</f>
      </c>
      <c r="I640" s="11">
        <f>IF(B640="","",C640-F640)</f>
      </c>
      <c r="J640" s="11">
        <f>IF(OR(B640="",G640=0),"",ROUND(I640/H640,2))</f>
      </c>
      <c r="K640" s="9">
        <f>IF(B640="","",IF(COUNTIF($B$2:B640,B640)=1,MAX($K$1:K639)+1,""))</f>
      </c>
    </row>
    <row r="641">
      <c r="G641" s="9">
        <f>IF(B641="","",D641+E641)</f>
      </c>
      <c r="H641" s="10">
        <f>IF(B641="","",ROUND(G641/60,2))</f>
      </c>
      <c r="I641" s="11">
        <f>IF(B641="","",C641-F641)</f>
      </c>
      <c r="J641" s="11">
        <f>IF(OR(B641="",G641=0),"",ROUND(I641/H641,2))</f>
      </c>
      <c r="K641" s="9">
        <f>IF(B641="","",IF(COUNTIF($B$2:B641,B641)=1,MAX($K$1:K640)+1,""))</f>
      </c>
    </row>
    <row r="642">
      <c r="G642" s="9">
        <f>IF(B642="","",D642+E642)</f>
      </c>
      <c r="H642" s="10">
        <f>IF(B642="","",ROUND(G642/60,2))</f>
      </c>
      <c r="I642" s="11">
        <f>IF(B642="","",C642-F642)</f>
      </c>
      <c r="J642" s="11">
        <f>IF(OR(B642="",G642=0),"",ROUND(I642/H642,2))</f>
      </c>
      <c r="K642" s="9">
        <f>IF(B642="","",IF(COUNTIF($B$2:B642,B642)=1,MAX($K$1:K641)+1,""))</f>
      </c>
    </row>
    <row r="643">
      <c r="G643" s="9">
        <f>IF(B643="","",D643+E643)</f>
      </c>
      <c r="H643" s="10">
        <f>IF(B643="","",ROUND(G643/60,2))</f>
      </c>
      <c r="I643" s="11">
        <f>IF(B643="","",C643-F643)</f>
      </c>
      <c r="J643" s="11">
        <f>IF(OR(B643="",G643=0),"",ROUND(I643/H643,2))</f>
      </c>
      <c r="K643" s="9">
        <f>IF(B643="","",IF(COUNTIF($B$2:B643,B643)=1,MAX($K$1:K642)+1,""))</f>
      </c>
    </row>
    <row r="644">
      <c r="G644" s="9">
        <f>IF(B644="","",D644+E644)</f>
      </c>
      <c r="H644" s="10">
        <f>IF(B644="","",ROUND(G644/60,2))</f>
      </c>
      <c r="I644" s="11">
        <f>IF(B644="","",C644-F644)</f>
      </c>
      <c r="J644" s="11">
        <f>IF(OR(B644="",G644=0),"",ROUND(I644/H644,2))</f>
      </c>
      <c r="K644" s="9">
        <f>IF(B644="","",IF(COUNTIF($B$2:B644,B644)=1,MAX($K$1:K643)+1,""))</f>
      </c>
    </row>
    <row r="645">
      <c r="G645" s="9">
        <f>IF(B645="","",D645+E645)</f>
      </c>
      <c r="H645" s="10">
        <f>IF(B645="","",ROUND(G645/60,2))</f>
      </c>
      <c r="I645" s="11">
        <f>IF(B645="","",C645-F645)</f>
      </c>
      <c r="J645" s="11">
        <f>IF(OR(B645="",G645=0),"",ROUND(I645/H645,2))</f>
      </c>
      <c r="K645" s="9">
        <f>IF(B645="","",IF(COUNTIF($B$2:B645,B645)=1,MAX($K$1:K644)+1,""))</f>
      </c>
    </row>
    <row r="646">
      <c r="G646" s="9">
        <f>IF(B646="","",D646+E646)</f>
      </c>
      <c r="H646" s="10">
        <f>IF(B646="","",ROUND(G646/60,2))</f>
      </c>
      <c r="I646" s="11">
        <f>IF(B646="","",C646-F646)</f>
      </c>
      <c r="J646" s="11">
        <f>IF(OR(B646="",G646=0),"",ROUND(I646/H646,2))</f>
      </c>
      <c r="K646" s="9">
        <f>IF(B646="","",IF(COUNTIF($B$2:B646,B646)=1,MAX($K$1:K645)+1,""))</f>
      </c>
    </row>
    <row r="647">
      <c r="G647" s="9">
        <f>IF(B647="","",D647+E647)</f>
      </c>
      <c r="H647" s="10">
        <f>IF(B647="","",ROUND(G647/60,2))</f>
      </c>
      <c r="I647" s="11">
        <f>IF(B647="","",C647-F647)</f>
      </c>
      <c r="J647" s="11">
        <f>IF(OR(B647="",G647=0),"",ROUND(I647/H647,2))</f>
      </c>
      <c r="K647" s="9">
        <f>IF(B647="","",IF(COUNTIF($B$2:B647,B647)=1,MAX($K$1:K646)+1,""))</f>
      </c>
    </row>
    <row r="648">
      <c r="G648" s="9">
        <f>IF(B648="","",D648+E648)</f>
      </c>
      <c r="H648" s="10">
        <f>IF(B648="","",ROUND(G648/60,2))</f>
      </c>
      <c r="I648" s="11">
        <f>IF(B648="","",C648-F648)</f>
      </c>
      <c r="J648" s="11">
        <f>IF(OR(B648="",G648=0),"",ROUND(I648/H648,2))</f>
      </c>
      <c r="K648" s="9">
        <f>IF(B648="","",IF(COUNTIF($B$2:B648,B648)=1,MAX($K$1:K647)+1,""))</f>
      </c>
    </row>
    <row r="649">
      <c r="G649" s="9">
        <f>IF(B649="","",D649+E649)</f>
      </c>
      <c r="H649" s="10">
        <f>IF(B649="","",ROUND(G649/60,2))</f>
      </c>
      <c r="I649" s="11">
        <f>IF(B649="","",C649-F649)</f>
      </c>
      <c r="J649" s="11">
        <f>IF(OR(B649="",G649=0),"",ROUND(I649/H649,2))</f>
      </c>
      <c r="K649" s="9">
        <f>IF(B649="","",IF(COUNTIF($B$2:B649,B649)=1,MAX($K$1:K648)+1,""))</f>
      </c>
    </row>
    <row r="650">
      <c r="G650" s="9">
        <f>IF(B650="","",D650+E650)</f>
      </c>
      <c r="H650" s="10">
        <f>IF(B650="","",ROUND(G650/60,2))</f>
      </c>
      <c r="I650" s="11">
        <f>IF(B650="","",C650-F650)</f>
      </c>
      <c r="J650" s="11">
        <f>IF(OR(B650="",G650=0),"",ROUND(I650/H650,2))</f>
      </c>
      <c r="K650" s="9">
        <f>IF(B650="","",IF(COUNTIF($B$2:B650,B650)=1,MAX($K$1:K649)+1,""))</f>
      </c>
    </row>
    <row r="651">
      <c r="G651" s="9">
        <f>IF(B651="","",D651+E651)</f>
      </c>
      <c r="H651" s="10">
        <f>IF(B651="","",ROUND(G651/60,2))</f>
      </c>
      <c r="I651" s="11">
        <f>IF(B651="","",C651-F651)</f>
      </c>
      <c r="J651" s="11">
        <f>IF(OR(B651="",G651=0),"",ROUND(I651/H651,2))</f>
      </c>
      <c r="K651" s="9">
        <f>IF(B651="","",IF(COUNTIF($B$2:B651,B651)=1,MAX($K$1:K650)+1,""))</f>
      </c>
    </row>
    <row r="652">
      <c r="G652" s="9">
        <f>IF(B652="","",D652+E652)</f>
      </c>
      <c r="H652" s="10">
        <f>IF(B652="","",ROUND(G652/60,2))</f>
      </c>
      <c r="I652" s="11">
        <f>IF(B652="","",C652-F652)</f>
      </c>
      <c r="J652" s="11">
        <f>IF(OR(B652="",G652=0),"",ROUND(I652/H652,2))</f>
      </c>
      <c r="K652" s="9">
        <f>IF(B652="","",IF(COUNTIF($B$2:B652,B652)=1,MAX($K$1:K651)+1,""))</f>
      </c>
    </row>
    <row r="653">
      <c r="G653" s="9">
        <f>IF(B653="","",D653+E653)</f>
      </c>
      <c r="H653" s="10">
        <f>IF(B653="","",ROUND(G653/60,2))</f>
      </c>
      <c r="I653" s="11">
        <f>IF(B653="","",C653-F653)</f>
      </c>
      <c r="J653" s="11">
        <f>IF(OR(B653="",G653=0),"",ROUND(I653/H653,2))</f>
      </c>
      <c r="K653" s="9">
        <f>IF(B653="","",IF(COUNTIF($B$2:B653,B653)=1,MAX($K$1:K652)+1,""))</f>
      </c>
    </row>
    <row r="654">
      <c r="G654" s="9">
        <f>IF(B654="","",D654+E654)</f>
      </c>
      <c r="H654" s="10">
        <f>IF(B654="","",ROUND(G654/60,2))</f>
      </c>
      <c r="I654" s="11">
        <f>IF(B654="","",C654-F654)</f>
      </c>
      <c r="J654" s="11">
        <f>IF(OR(B654="",G654=0),"",ROUND(I654/H654,2))</f>
      </c>
      <c r="K654" s="9">
        <f>IF(B654="","",IF(COUNTIF($B$2:B654,B654)=1,MAX($K$1:K653)+1,""))</f>
      </c>
    </row>
    <row r="655">
      <c r="G655" s="9">
        <f>IF(B655="","",D655+E655)</f>
      </c>
      <c r="H655" s="10">
        <f>IF(B655="","",ROUND(G655/60,2))</f>
      </c>
      <c r="I655" s="11">
        <f>IF(B655="","",C655-F655)</f>
      </c>
      <c r="J655" s="11">
        <f>IF(OR(B655="",G655=0),"",ROUND(I655/H655,2))</f>
      </c>
      <c r="K655" s="9">
        <f>IF(B655="","",IF(COUNTIF($B$2:B655,B655)=1,MAX($K$1:K654)+1,""))</f>
      </c>
    </row>
    <row r="656">
      <c r="G656" s="9">
        <f>IF(B656="","",D656+E656)</f>
      </c>
      <c r="H656" s="10">
        <f>IF(B656="","",ROUND(G656/60,2))</f>
      </c>
      <c r="I656" s="11">
        <f>IF(B656="","",C656-F656)</f>
      </c>
      <c r="J656" s="11">
        <f>IF(OR(B656="",G656=0),"",ROUND(I656/H656,2))</f>
      </c>
      <c r="K656" s="9">
        <f>IF(B656="","",IF(COUNTIF($B$2:B656,B656)=1,MAX($K$1:K655)+1,""))</f>
      </c>
    </row>
    <row r="657">
      <c r="G657" s="9">
        <f>IF(B657="","",D657+E657)</f>
      </c>
      <c r="H657" s="10">
        <f>IF(B657="","",ROUND(G657/60,2))</f>
      </c>
      <c r="I657" s="11">
        <f>IF(B657="","",C657-F657)</f>
      </c>
      <c r="J657" s="11">
        <f>IF(OR(B657="",G657=0),"",ROUND(I657/H657,2))</f>
      </c>
      <c r="K657" s="9">
        <f>IF(B657="","",IF(COUNTIF($B$2:B657,B657)=1,MAX($K$1:K656)+1,""))</f>
      </c>
    </row>
    <row r="658">
      <c r="G658" s="9">
        <f>IF(B658="","",D658+E658)</f>
      </c>
      <c r="H658" s="10">
        <f>IF(B658="","",ROUND(G658/60,2))</f>
      </c>
      <c r="I658" s="11">
        <f>IF(B658="","",C658-F658)</f>
      </c>
      <c r="J658" s="11">
        <f>IF(OR(B658="",G658=0),"",ROUND(I658/H658,2))</f>
      </c>
      <c r="K658" s="9">
        <f>IF(B658="","",IF(COUNTIF($B$2:B658,B658)=1,MAX($K$1:K657)+1,""))</f>
      </c>
    </row>
    <row r="659">
      <c r="G659" s="9">
        <f>IF(B659="","",D659+E659)</f>
      </c>
      <c r="H659" s="10">
        <f>IF(B659="","",ROUND(G659/60,2))</f>
      </c>
      <c r="I659" s="11">
        <f>IF(B659="","",C659-F659)</f>
      </c>
      <c r="J659" s="11">
        <f>IF(OR(B659="",G659=0),"",ROUND(I659/H659,2))</f>
      </c>
      <c r="K659" s="9">
        <f>IF(B659="","",IF(COUNTIF($B$2:B659,B659)=1,MAX($K$1:K658)+1,""))</f>
      </c>
    </row>
    <row r="660">
      <c r="G660" s="9">
        <f>IF(B660="","",D660+E660)</f>
      </c>
      <c r="H660" s="10">
        <f>IF(B660="","",ROUND(G660/60,2))</f>
      </c>
      <c r="I660" s="11">
        <f>IF(B660="","",C660-F660)</f>
      </c>
      <c r="J660" s="11">
        <f>IF(OR(B660="",G660=0),"",ROUND(I660/H660,2))</f>
      </c>
      <c r="K660" s="9">
        <f>IF(B660="","",IF(COUNTIF($B$2:B660,B660)=1,MAX($K$1:K659)+1,""))</f>
      </c>
    </row>
    <row r="661">
      <c r="G661" s="9">
        <f>IF(B661="","",D661+E661)</f>
      </c>
      <c r="H661" s="10">
        <f>IF(B661="","",ROUND(G661/60,2))</f>
      </c>
      <c r="I661" s="11">
        <f>IF(B661="","",C661-F661)</f>
      </c>
      <c r="J661" s="11">
        <f>IF(OR(B661="",G661=0),"",ROUND(I661/H661,2))</f>
      </c>
      <c r="K661" s="9">
        <f>IF(B661="","",IF(COUNTIF($B$2:B661,B661)=1,MAX($K$1:K660)+1,""))</f>
      </c>
    </row>
    <row r="662">
      <c r="G662" s="9">
        <f>IF(B662="","",D662+E662)</f>
      </c>
      <c r="H662" s="10">
        <f>IF(B662="","",ROUND(G662/60,2))</f>
      </c>
      <c r="I662" s="11">
        <f>IF(B662="","",C662-F662)</f>
      </c>
      <c r="J662" s="11">
        <f>IF(OR(B662="",G662=0),"",ROUND(I662/H662,2))</f>
      </c>
      <c r="K662" s="9">
        <f>IF(B662="","",IF(COUNTIF($B$2:B662,B662)=1,MAX($K$1:K661)+1,""))</f>
      </c>
    </row>
    <row r="663">
      <c r="G663" s="9">
        <f>IF(B663="","",D663+E663)</f>
      </c>
      <c r="H663" s="10">
        <f>IF(B663="","",ROUND(G663/60,2))</f>
      </c>
      <c r="I663" s="11">
        <f>IF(B663="","",C663-F663)</f>
      </c>
      <c r="J663" s="11">
        <f>IF(OR(B663="",G663=0),"",ROUND(I663/H663,2))</f>
      </c>
      <c r="K663" s="9">
        <f>IF(B663="","",IF(COUNTIF($B$2:B663,B663)=1,MAX($K$1:K662)+1,""))</f>
      </c>
    </row>
    <row r="664">
      <c r="G664" s="9">
        <f>IF(B664="","",D664+E664)</f>
      </c>
      <c r="H664" s="10">
        <f>IF(B664="","",ROUND(G664/60,2))</f>
      </c>
      <c r="I664" s="11">
        <f>IF(B664="","",C664-F664)</f>
      </c>
      <c r="J664" s="11">
        <f>IF(OR(B664="",G664=0),"",ROUND(I664/H664,2))</f>
      </c>
      <c r="K664" s="9">
        <f>IF(B664="","",IF(COUNTIF($B$2:B664,B664)=1,MAX($K$1:K663)+1,""))</f>
      </c>
    </row>
    <row r="665">
      <c r="G665" s="9">
        <f>IF(B665="","",D665+E665)</f>
      </c>
      <c r="H665" s="10">
        <f>IF(B665="","",ROUND(G665/60,2))</f>
      </c>
      <c r="I665" s="11">
        <f>IF(B665="","",C665-F665)</f>
      </c>
      <c r="J665" s="11">
        <f>IF(OR(B665="",G665=0),"",ROUND(I665/H665,2))</f>
      </c>
      <c r="K665" s="9">
        <f>IF(B665="","",IF(COUNTIF($B$2:B665,B665)=1,MAX($K$1:K664)+1,""))</f>
      </c>
    </row>
    <row r="666">
      <c r="G666" s="9">
        <f>IF(B666="","",D666+E666)</f>
      </c>
      <c r="H666" s="10">
        <f>IF(B666="","",ROUND(G666/60,2))</f>
      </c>
      <c r="I666" s="11">
        <f>IF(B666="","",C666-F666)</f>
      </c>
      <c r="J666" s="11">
        <f>IF(OR(B666="",G666=0),"",ROUND(I666/H666,2))</f>
      </c>
      <c r="K666" s="9">
        <f>IF(B666="","",IF(COUNTIF($B$2:B666,B666)=1,MAX($K$1:K665)+1,""))</f>
      </c>
    </row>
    <row r="667">
      <c r="G667" s="9">
        <f>IF(B667="","",D667+E667)</f>
      </c>
      <c r="H667" s="10">
        <f>IF(B667="","",ROUND(G667/60,2))</f>
      </c>
      <c r="I667" s="11">
        <f>IF(B667="","",C667-F667)</f>
      </c>
      <c r="J667" s="11">
        <f>IF(OR(B667="",G667=0),"",ROUND(I667/H667,2))</f>
      </c>
      <c r="K667" s="9">
        <f>IF(B667="","",IF(COUNTIF($B$2:B667,B667)=1,MAX($K$1:K666)+1,""))</f>
      </c>
    </row>
    <row r="668">
      <c r="G668" s="9">
        <f>IF(B668="","",D668+E668)</f>
      </c>
      <c r="H668" s="10">
        <f>IF(B668="","",ROUND(G668/60,2))</f>
      </c>
      <c r="I668" s="11">
        <f>IF(B668="","",C668-F668)</f>
      </c>
      <c r="J668" s="11">
        <f>IF(OR(B668="",G668=0),"",ROUND(I668/H668,2))</f>
      </c>
      <c r="K668" s="9">
        <f>IF(B668="","",IF(COUNTIF($B$2:B668,B668)=1,MAX($K$1:K667)+1,""))</f>
      </c>
    </row>
    <row r="669">
      <c r="G669" s="9">
        <f>IF(B669="","",D669+E669)</f>
      </c>
      <c r="H669" s="10">
        <f>IF(B669="","",ROUND(G669/60,2))</f>
      </c>
      <c r="I669" s="11">
        <f>IF(B669="","",C669-F669)</f>
      </c>
      <c r="J669" s="11">
        <f>IF(OR(B669="",G669=0),"",ROUND(I669/H669,2))</f>
      </c>
      <c r="K669" s="9">
        <f>IF(B669="","",IF(COUNTIF($B$2:B669,B669)=1,MAX($K$1:K668)+1,""))</f>
      </c>
    </row>
    <row r="670">
      <c r="G670" s="9">
        <f>IF(B670="","",D670+E670)</f>
      </c>
      <c r="H670" s="10">
        <f>IF(B670="","",ROUND(G670/60,2))</f>
      </c>
      <c r="I670" s="11">
        <f>IF(B670="","",C670-F670)</f>
      </c>
      <c r="J670" s="11">
        <f>IF(OR(B670="",G670=0),"",ROUND(I670/H670,2))</f>
      </c>
      <c r="K670" s="9">
        <f>IF(B670="","",IF(COUNTIF($B$2:B670,B670)=1,MAX($K$1:K669)+1,""))</f>
      </c>
    </row>
    <row r="671">
      <c r="G671" s="9">
        <f>IF(B671="","",D671+E671)</f>
      </c>
      <c r="H671" s="10">
        <f>IF(B671="","",ROUND(G671/60,2))</f>
      </c>
      <c r="I671" s="11">
        <f>IF(B671="","",C671-F671)</f>
      </c>
      <c r="J671" s="11">
        <f>IF(OR(B671="",G671=0),"",ROUND(I671/H671,2))</f>
      </c>
      <c r="K671" s="9">
        <f>IF(B671="","",IF(COUNTIF($B$2:B671,B671)=1,MAX($K$1:K670)+1,""))</f>
      </c>
    </row>
    <row r="672">
      <c r="G672" s="9">
        <f>IF(B672="","",D672+E672)</f>
      </c>
      <c r="H672" s="10">
        <f>IF(B672="","",ROUND(G672/60,2))</f>
      </c>
      <c r="I672" s="11">
        <f>IF(B672="","",C672-F672)</f>
      </c>
      <c r="J672" s="11">
        <f>IF(OR(B672="",G672=0),"",ROUND(I672/H672,2))</f>
      </c>
      <c r="K672" s="9">
        <f>IF(B672="","",IF(COUNTIF($B$2:B672,B672)=1,MAX($K$1:K671)+1,""))</f>
      </c>
    </row>
    <row r="673">
      <c r="G673" s="9">
        <f>IF(B673="","",D673+E673)</f>
      </c>
      <c r="H673" s="10">
        <f>IF(B673="","",ROUND(G673/60,2))</f>
      </c>
      <c r="I673" s="11">
        <f>IF(B673="","",C673-F673)</f>
      </c>
      <c r="J673" s="11">
        <f>IF(OR(B673="",G673=0),"",ROUND(I673/H673,2))</f>
      </c>
      <c r="K673" s="9">
        <f>IF(B673="","",IF(COUNTIF($B$2:B673,B673)=1,MAX($K$1:K672)+1,""))</f>
      </c>
    </row>
    <row r="674">
      <c r="G674" s="9">
        <f>IF(B674="","",D674+E674)</f>
      </c>
      <c r="H674" s="10">
        <f>IF(B674="","",ROUND(G674/60,2))</f>
      </c>
      <c r="I674" s="11">
        <f>IF(B674="","",C674-F674)</f>
      </c>
      <c r="J674" s="11">
        <f>IF(OR(B674="",G674=0),"",ROUND(I674/H674,2))</f>
      </c>
      <c r="K674" s="9">
        <f>IF(B674="","",IF(COUNTIF($B$2:B674,B674)=1,MAX($K$1:K673)+1,""))</f>
      </c>
    </row>
    <row r="675">
      <c r="G675" s="9">
        <f>IF(B675="","",D675+E675)</f>
      </c>
      <c r="H675" s="10">
        <f>IF(B675="","",ROUND(G675/60,2))</f>
      </c>
      <c r="I675" s="11">
        <f>IF(B675="","",C675-F675)</f>
      </c>
      <c r="J675" s="11">
        <f>IF(OR(B675="",G675=0),"",ROUND(I675/H675,2))</f>
      </c>
      <c r="K675" s="9">
        <f>IF(B675="","",IF(COUNTIF($B$2:B675,B675)=1,MAX($K$1:K674)+1,""))</f>
      </c>
    </row>
    <row r="676">
      <c r="G676" s="9">
        <f>IF(B676="","",D676+E676)</f>
      </c>
      <c r="H676" s="10">
        <f>IF(B676="","",ROUND(G676/60,2))</f>
      </c>
      <c r="I676" s="11">
        <f>IF(B676="","",C676-F676)</f>
      </c>
      <c r="J676" s="11">
        <f>IF(OR(B676="",G676=0),"",ROUND(I676/H676,2))</f>
      </c>
      <c r="K676" s="9">
        <f>IF(B676="","",IF(COUNTIF($B$2:B676,B676)=1,MAX($K$1:K675)+1,""))</f>
      </c>
    </row>
    <row r="677">
      <c r="G677" s="9">
        <f>IF(B677="","",D677+E677)</f>
      </c>
      <c r="H677" s="10">
        <f>IF(B677="","",ROUND(G677/60,2))</f>
      </c>
      <c r="I677" s="11">
        <f>IF(B677="","",C677-F677)</f>
      </c>
      <c r="J677" s="11">
        <f>IF(OR(B677="",G677=0),"",ROUND(I677/H677,2))</f>
      </c>
      <c r="K677" s="9">
        <f>IF(B677="","",IF(COUNTIF($B$2:B677,B677)=1,MAX($K$1:K676)+1,""))</f>
      </c>
    </row>
    <row r="678">
      <c r="G678" s="9">
        <f>IF(B678="","",D678+E678)</f>
      </c>
      <c r="H678" s="10">
        <f>IF(B678="","",ROUND(G678/60,2))</f>
      </c>
      <c r="I678" s="11">
        <f>IF(B678="","",C678-F678)</f>
      </c>
      <c r="J678" s="11">
        <f>IF(OR(B678="",G678=0),"",ROUND(I678/H678,2))</f>
      </c>
      <c r="K678" s="9">
        <f>IF(B678="","",IF(COUNTIF($B$2:B678,B678)=1,MAX($K$1:K677)+1,""))</f>
      </c>
    </row>
    <row r="679">
      <c r="G679" s="9">
        <f>IF(B679="","",D679+E679)</f>
      </c>
      <c r="H679" s="10">
        <f>IF(B679="","",ROUND(G679/60,2))</f>
      </c>
      <c r="I679" s="11">
        <f>IF(B679="","",C679-F679)</f>
      </c>
      <c r="J679" s="11">
        <f>IF(OR(B679="",G679=0),"",ROUND(I679/H679,2))</f>
      </c>
      <c r="K679" s="9">
        <f>IF(B679="","",IF(COUNTIF($B$2:B679,B679)=1,MAX($K$1:K678)+1,""))</f>
      </c>
    </row>
    <row r="680">
      <c r="G680" s="9">
        <f>IF(B680="","",D680+E680)</f>
      </c>
      <c r="H680" s="10">
        <f>IF(B680="","",ROUND(G680/60,2))</f>
      </c>
      <c r="I680" s="11">
        <f>IF(B680="","",C680-F680)</f>
      </c>
      <c r="J680" s="11">
        <f>IF(OR(B680="",G680=0),"",ROUND(I680/H680,2))</f>
      </c>
      <c r="K680" s="9">
        <f>IF(B680="","",IF(COUNTIF($B$2:B680,B680)=1,MAX($K$1:K679)+1,""))</f>
      </c>
    </row>
    <row r="681">
      <c r="G681" s="9">
        <f>IF(B681="","",D681+E681)</f>
      </c>
      <c r="H681" s="10">
        <f>IF(B681="","",ROUND(G681/60,2))</f>
      </c>
      <c r="I681" s="11">
        <f>IF(B681="","",C681-F681)</f>
      </c>
      <c r="J681" s="11">
        <f>IF(OR(B681="",G681=0),"",ROUND(I681/H681,2))</f>
      </c>
      <c r="K681" s="9">
        <f>IF(B681="","",IF(COUNTIF($B$2:B681,B681)=1,MAX($K$1:K680)+1,""))</f>
      </c>
    </row>
    <row r="682">
      <c r="G682" s="9">
        <f>IF(B682="","",D682+E682)</f>
      </c>
      <c r="H682" s="10">
        <f>IF(B682="","",ROUND(G682/60,2))</f>
      </c>
      <c r="I682" s="11">
        <f>IF(B682="","",C682-F682)</f>
      </c>
      <c r="J682" s="11">
        <f>IF(OR(B682="",G682=0),"",ROUND(I682/H682,2))</f>
      </c>
      <c r="K682" s="9">
        <f>IF(B682="","",IF(COUNTIF($B$2:B682,B682)=1,MAX($K$1:K681)+1,""))</f>
      </c>
    </row>
    <row r="683">
      <c r="G683" s="9">
        <f>IF(B683="","",D683+E683)</f>
      </c>
      <c r="H683" s="10">
        <f>IF(B683="","",ROUND(G683/60,2))</f>
      </c>
      <c r="I683" s="11">
        <f>IF(B683="","",C683-F683)</f>
      </c>
      <c r="J683" s="11">
        <f>IF(OR(B683="",G683=0),"",ROUND(I683/H683,2))</f>
      </c>
      <c r="K683" s="9">
        <f>IF(B683="","",IF(COUNTIF($B$2:B683,B683)=1,MAX($K$1:K682)+1,""))</f>
      </c>
    </row>
    <row r="684">
      <c r="G684" s="9">
        <f>IF(B684="","",D684+E684)</f>
      </c>
      <c r="H684" s="10">
        <f>IF(B684="","",ROUND(G684/60,2))</f>
      </c>
      <c r="I684" s="11">
        <f>IF(B684="","",C684-F684)</f>
      </c>
      <c r="J684" s="11">
        <f>IF(OR(B684="",G684=0),"",ROUND(I684/H684,2))</f>
      </c>
      <c r="K684" s="9">
        <f>IF(B684="","",IF(COUNTIF($B$2:B684,B684)=1,MAX($K$1:K683)+1,""))</f>
      </c>
    </row>
    <row r="685">
      <c r="G685" s="9">
        <f>IF(B685="","",D685+E685)</f>
      </c>
      <c r="H685" s="10">
        <f>IF(B685="","",ROUND(G685/60,2))</f>
      </c>
      <c r="I685" s="11">
        <f>IF(B685="","",C685-F685)</f>
      </c>
      <c r="J685" s="11">
        <f>IF(OR(B685="",G685=0),"",ROUND(I685/H685,2))</f>
      </c>
      <c r="K685" s="9">
        <f>IF(B685="","",IF(COUNTIF($B$2:B685,B685)=1,MAX($K$1:K684)+1,""))</f>
      </c>
    </row>
    <row r="686">
      <c r="G686" s="9">
        <f>IF(B686="","",D686+E686)</f>
      </c>
      <c r="H686" s="10">
        <f>IF(B686="","",ROUND(G686/60,2))</f>
      </c>
      <c r="I686" s="11">
        <f>IF(B686="","",C686-F686)</f>
      </c>
      <c r="J686" s="11">
        <f>IF(OR(B686="",G686=0),"",ROUND(I686/H686,2))</f>
      </c>
      <c r="K686" s="9">
        <f>IF(B686="","",IF(COUNTIF($B$2:B686,B686)=1,MAX($K$1:K685)+1,""))</f>
      </c>
    </row>
    <row r="687">
      <c r="G687" s="9">
        <f>IF(B687="","",D687+E687)</f>
      </c>
      <c r="H687" s="10">
        <f>IF(B687="","",ROUND(G687/60,2))</f>
      </c>
      <c r="I687" s="11">
        <f>IF(B687="","",C687-F687)</f>
      </c>
      <c r="J687" s="11">
        <f>IF(OR(B687="",G687=0),"",ROUND(I687/H687,2))</f>
      </c>
      <c r="K687" s="9">
        <f>IF(B687="","",IF(COUNTIF($B$2:B687,B687)=1,MAX($K$1:K686)+1,""))</f>
      </c>
    </row>
    <row r="688">
      <c r="G688" s="9">
        <f>IF(B688="","",D688+E688)</f>
      </c>
      <c r="H688" s="10">
        <f>IF(B688="","",ROUND(G688/60,2))</f>
      </c>
      <c r="I688" s="11">
        <f>IF(B688="","",C688-F688)</f>
      </c>
      <c r="J688" s="11">
        <f>IF(OR(B688="",G688=0),"",ROUND(I688/H688,2))</f>
      </c>
      <c r="K688" s="9">
        <f>IF(B688="","",IF(COUNTIF($B$2:B688,B688)=1,MAX($K$1:K687)+1,""))</f>
      </c>
    </row>
    <row r="689">
      <c r="G689" s="9">
        <f>IF(B689="","",D689+E689)</f>
      </c>
      <c r="H689" s="10">
        <f>IF(B689="","",ROUND(G689/60,2))</f>
      </c>
      <c r="I689" s="11">
        <f>IF(B689="","",C689-F689)</f>
      </c>
      <c r="J689" s="11">
        <f>IF(OR(B689="",G689=0),"",ROUND(I689/H689,2))</f>
      </c>
      <c r="K689" s="9">
        <f>IF(B689="","",IF(COUNTIF($B$2:B689,B689)=1,MAX($K$1:K688)+1,""))</f>
      </c>
    </row>
    <row r="690">
      <c r="G690" s="9">
        <f>IF(B690="","",D690+E690)</f>
      </c>
      <c r="H690" s="10">
        <f>IF(B690="","",ROUND(G690/60,2))</f>
      </c>
      <c r="I690" s="11">
        <f>IF(B690="","",C690-F690)</f>
      </c>
      <c r="J690" s="11">
        <f>IF(OR(B690="",G690=0),"",ROUND(I690/H690,2))</f>
      </c>
      <c r="K690" s="9">
        <f>IF(B690="","",IF(COUNTIF($B$2:B690,B690)=1,MAX($K$1:K689)+1,""))</f>
      </c>
    </row>
    <row r="691">
      <c r="G691" s="9">
        <f>IF(B691="","",D691+E691)</f>
      </c>
      <c r="H691" s="10">
        <f>IF(B691="","",ROUND(G691/60,2))</f>
      </c>
      <c r="I691" s="11">
        <f>IF(B691="","",C691-F691)</f>
      </c>
      <c r="J691" s="11">
        <f>IF(OR(B691="",G691=0),"",ROUND(I691/H691,2))</f>
      </c>
      <c r="K691" s="9">
        <f>IF(B691="","",IF(COUNTIF($B$2:B691,B691)=1,MAX($K$1:K690)+1,""))</f>
      </c>
    </row>
    <row r="692">
      <c r="G692" s="9">
        <f>IF(B692="","",D692+E692)</f>
      </c>
      <c r="H692" s="10">
        <f>IF(B692="","",ROUND(G692/60,2))</f>
      </c>
      <c r="I692" s="11">
        <f>IF(B692="","",C692-F692)</f>
      </c>
      <c r="J692" s="11">
        <f>IF(OR(B692="",G692=0),"",ROUND(I692/H692,2))</f>
      </c>
      <c r="K692" s="9">
        <f>IF(B692="","",IF(COUNTIF($B$2:B692,B692)=1,MAX($K$1:K691)+1,""))</f>
      </c>
    </row>
    <row r="693">
      <c r="G693" s="9">
        <f>IF(B693="","",D693+E693)</f>
      </c>
      <c r="H693" s="10">
        <f>IF(B693="","",ROUND(G693/60,2))</f>
      </c>
      <c r="I693" s="11">
        <f>IF(B693="","",C693-F693)</f>
      </c>
      <c r="J693" s="11">
        <f>IF(OR(B693="",G693=0),"",ROUND(I693/H693,2))</f>
      </c>
      <c r="K693" s="9">
        <f>IF(B693="","",IF(COUNTIF($B$2:B693,B693)=1,MAX($K$1:K692)+1,""))</f>
      </c>
    </row>
    <row r="694">
      <c r="G694" s="9">
        <f>IF(B694="","",D694+E694)</f>
      </c>
      <c r="H694" s="10">
        <f>IF(B694="","",ROUND(G694/60,2))</f>
      </c>
      <c r="I694" s="11">
        <f>IF(B694="","",C694-F694)</f>
      </c>
      <c r="J694" s="11">
        <f>IF(OR(B694="",G694=0),"",ROUND(I694/H694,2))</f>
      </c>
      <c r="K694" s="9">
        <f>IF(B694="","",IF(COUNTIF($B$2:B694,B694)=1,MAX($K$1:K693)+1,""))</f>
      </c>
    </row>
    <row r="695">
      <c r="G695" s="9">
        <f>IF(B695="","",D695+E695)</f>
      </c>
      <c r="H695" s="10">
        <f>IF(B695="","",ROUND(G695/60,2))</f>
      </c>
      <c r="I695" s="11">
        <f>IF(B695="","",C695-F695)</f>
      </c>
      <c r="J695" s="11">
        <f>IF(OR(B695="",G695=0),"",ROUND(I695/H695,2))</f>
      </c>
      <c r="K695" s="9">
        <f>IF(B695="","",IF(COUNTIF($B$2:B695,B695)=1,MAX($K$1:K694)+1,""))</f>
      </c>
    </row>
    <row r="696">
      <c r="G696" s="9">
        <f>IF(B696="","",D696+E696)</f>
      </c>
      <c r="H696" s="10">
        <f>IF(B696="","",ROUND(G696/60,2))</f>
      </c>
      <c r="I696" s="11">
        <f>IF(B696="","",C696-F696)</f>
      </c>
      <c r="J696" s="11">
        <f>IF(OR(B696="",G696=0),"",ROUND(I696/H696,2))</f>
      </c>
      <c r="K696" s="9">
        <f>IF(B696="","",IF(COUNTIF($B$2:B696,B696)=1,MAX($K$1:K695)+1,""))</f>
      </c>
    </row>
    <row r="697">
      <c r="G697" s="9">
        <f>IF(B697="","",D697+E697)</f>
      </c>
      <c r="H697" s="10">
        <f>IF(B697="","",ROUND(G697/60,2))</f>
      </c>
      <c r="I697" s="11">
        <f>IF(B697="","",C697-F697)</f>
      </c>
      <c r="J697" s="11">
        <f>IF(OR(B697="",G697=0),"",ROUND(I697/H697,2))</f>
      </c>
      <c r="K697" s="9">
        <f>IF(B697="","",IF(COUNTIF($B$2:B697,B697)=1,MAX($K$1:K696)+1,""))</f>
      </c>
    </row>
    <row r="698">
      <c r="G698" s="9">
        <f>IF(B698="","",D698+E698)</f>
      </c>
      <c r="H698" s="10">
        <f>IF(B698="","",ROUND(G698/60,2))</f>
      </c>
      <c r="I698" s="11">
        <f>IF(B698="","",C698-F698)</f>
      </c>
      <c r="J698" s="11">
        <f>IF(OR(B698="",G698=0),"",ROUND(I698/H698,2))</f>
      </c>
      <c r="K698" s="9">
        <f>IF(B698="","",IF(COUNTIF($B$2:B698,B698)=1,MAX($K$1:K697)+1,""))</f>
      </c>
    </row>
    <row r="699">
      <c r="G699" s="9">
        <f>IF(B699="","",D699+E699)</f>
      </c>
      <c r="H699" s="10">
        <f>IF(B699="","",ROUND(G699/60,2))</f>
      </c>
      <c r="I699" s="11">
        <f>IF(B699="","",C699-F699)</f>
      </c>
      <c r="J699" s="11">
        <f>IF(OR(B699="",G699=0),"",ROUND(I699/H699,2))</f>
      </c>
      <c r="K699" s="9">
        <f>IF(B699="","",IF(COUNTIF($B$2:B699,B699)=1,MAX($K$1:K698)+1,""))</f>
      </c>
    </row>
    <row r="700">
      <c r="G700" s="9">
        <f>IF(B700="","",D700+E700)</f>
      </c>
      <c r="H700" s="10">
        <f>IF(B700="","",ROUND(G700/60,2))</f>
      </c>
      <c r="I700" s="11">
        <f>IF(B700="","",C700-F700)</f>
      </c>
      <c r="J700" s="11">
        <f>IF(OR(B700="",G700=0),"",ROUND(I700/H700,2))</f>
      </c>
      <c r="K700" s="9">
        <f>IF(B700="","",IF(COUNTIF($B$2:B700,B700)=1,MAX($K$1:K699)+1,""))</f>
      </c>
    </row>
    <row r="701">
      <c r="G701" s="9">
        <f>IF(B701="","",D701+E701)</f>
      </c>
      <c r="H701" s="10">
        <f>IF(B701="","",ROUND(G701/60,2))</f>
      </c>
      <c r="I701" s="11">
        <f>IF(B701="","",C701-F701)</f>
      </c>
      <c r="J701" s="11">
        <f>IF(OR(B701="",G701=0),"",ROUND(I701/H701,2))</f>
      </c>
      <c r="K701" s="9">
        <f>IF(B701="","",IF(COUNTIF($B$2:B701,B701)=1,MAX($K$1:K700)+1,""))</f>
      </c>
    </row>
    <row r="702">
      <c r="G702" s="9">
        <f>IF(B702="","",D702+E702)</f>
      </c>
      <c r="H702" s="10">
        <f>IF(B702="","",ROUND(G702/60,2))</f>
      </c>
      <c r="I702" s="11">
        <f>IF(B702="","",C702-F702)</f>
      </c>
      <c r="J702" s="11">
        <f>IF(OR(B702="",G702=0),"",ROUND(I702/H702,2))</f>
      </c>
      <c r="K702" s="9">
        <f>IF(B702="","",IF(COUNTIF($B$2:B702,B702)=1,MAX($K$1:K701)+1,""))</f>
      </c>
    </row>
    <row r="703">
      <c r="G703" s="9">
        <f>IF(B703="","",D703+E703)</f>
      </c>
      <c r="H703" s="10">
        <f>IF(B703="","",ROUND(G703/60,2))</f>
      </c>
      <c r="I703" s="11">
        <f>IF(B703="","",C703-F703)</f>
      </c>
      <c r="J703" s="11">
        <f>IF(OR(B703="",G703=0),"",ROUND(I703/H703,2))</f>
      </c>
      <c r="K703" s="9">
        <f>IF(B703="","",IF(COUNTIF($B$2:B703,B703)=1,MAX($K$1:K702)+1,""))</f>
      </c>
    </row>
    <row r="704">
      <c r="G704" s="9">
        <f>IF(B704="","",D704+E704)</f>
      </c>
      <c r="H704" s="10">
        <f>IF(B704="","",ROUND(G704/60,2))</f>
      </c>
      <c r="I704" s="11">
        <f>IF(B704="","",C704-F704)</f>
      </c>
      <c r="J704" s="11">
        <f>IF(OR(B704="",G704=0),"",ROUND(I704/H704,2))</f>
      </c>
      <c r="K704" s="9">
        <f>IF(B704="","",IF(COUNTIF($B$2:B704,B704)=1,MAX($K$1:K703)+1,""))</f>
      </c>
    </row>
    <row r="705">
      <c r="G705" s="9">
        <f>IF(B705="","",D705+E705)</f>
      </c>
      <c r="H705" s="10">
        <f>IF(B705="","",ROUND(G705/60,2))</f>
      </c>
      <c r="I705" s="11">
        <f>IF(B705="","",C705-F705)</f>
      </c>
      <c r="J705" s="11">
        <f>IF(OR(B705="",G705=0),"",ROUND(I705/H705,2))</f>
      </c>
      <c r="K705" s="9">
        <f>IF(B705="","",IF(COUNTIF($B$2:B705,B705)=1,MAX($K$1:K704)+1,""))</f>
      </c>
    </row>
    <row r="706">
      <c r="G706" s="9">
        <f>IF(B706="","",D706+E706)</f>
      </c>
      <c r="H706" s="10">
        <f>IF(B706="","",ROUND(G706/60,2))</f>
      </c>
      <c r="I706" s="11">
        <f>IF(B706="","",C706-F706)</f>
      </c>
      <c r="J706" s="11">
        <f>IF(OR(B706="",G706=0),"",ROUND(I706/H706,2))</f>
      </c>
      <c r="K706" s="9">
        <f>IF(B706="","",IF(COUNTIF($B$2:B706,B706)=1,MAX($K$1:K705)+1,""))</f>
      </c>
    </row>
    <row r="707">
      <c r="G707" s="9">
        <f>IF(B707="","",D707+E707)</f>
      </c>
      <c r="H707" s="10">
        <f>IF(B707="","",ROUND(G707/60,2))</f>
      </c>
      <c r="I707" s="11">
        <f>IF(B707="","",C707-F707)</f>
      </c>
      <c r="J707" s="11">
        <f>IF(OR(B707="",G707=0),"",ROUND(I707/H707,2))</f>
      </c>
      <c r="K707" s="9">
        <f>IF(B707="","",IF(COUNTIF($B$2:B707,B707)=1,MAX($K$1:K706)+1,""))</f>
      </c>
    </row>
    <row r="708">
      <c r="G708" s="9">
        <f>IF(B708="","",D708+E708)</f>
      </c>
      <c r="H708" s="10">
        <f>IF(B708="","",ROUND(G708/60,2))</f>
      </c>
      <c r="I708" s="11">
        <f>IF(B708="","",C708-F708)</f>
      </c>
      <c r="J708" s="11">
        <f>IF(OR(B708="",G708=0),"",ROUND(I708/H708,2))</f>
      </c>
      <c r="K708" s="9">
        <f>IF(B708="","",IF(COUNTIF($B$2:B708,B708)=1,MAX($K$1:K707)+1,""))</f>
      </c>
    </row>
    <row r="709">
      <c r="G709" s="9">
        <f>IF(B709="","",D709+E709)</f>
      </c>
      <c r="H709" s="10">
        <f>IF(B709="","",ROUND(G709/60,2))</f>
      </c>
      <c r="I709" s="11">
        <f>IF(B709="","",C709-F709)</f>
      </c>
      <c r="J709" s="11">
        <f>IF(OR(B709="",G709=0),"",ROUND(I709/H709,2))</f>
      </c>
      <c r="K709" s="9">
        <f>IF(B709="","",IF(COUNTIF($B$2:B709,B709)=1,MAX($K$1:K708)+1,""))</f>
      </c>
    </row>
    <row r="710">
      <c r="G710" s="9">
        <f>IF(B710="","",D710+E710)</f>
      </c>
      <c r="H710" s="10">
        <f>IF(B710="","",ROUND(G710/60,2))</f>
      </c>
      <c r="I710" s="11">
        <f>IF(B710="","",C710-F710)</f>
      </c>
      <c r="J710" s="11">
        <f>IF(OR(B710="",G710=0),"",ROUND(I710/H710,2))</f>
      </c>
      <c r="K710" s="9">
        <f>IF(B710="","",IF(COUNTIF($B$2:B710,B710)=1,MAX($K$1:K709)+1,""))</f>
      </c>
    </row>
    <row r="711">
      <c r="G711" s="9">
        <f>IF(B711="","",D711+E711)</f>
      </c>
      <c r="H711" s="10">
        <f>IF(B711="","",ROUND(G711/60,2))</f>
      </c>
      <c r="I711" s="11">
        <f>IF(B711="","",C711-F711)</f>
      </c>
      <c r="J711" s="11">
        <f>IF(OR(B711="",G711=0),"",ROUND(I711/H711,2))</f>
      </c>
      <c r="K711" s="9">
        <f>IF(B711="","",IF(COUNTIF($B$2:B711,B711)=1,MAX($K$1:K710)+1,""))</f>
      </c>
    </row>
    <row r="712">
      <c r="G712" s="9">
        <f>IF(B712="","",D712+E712)</f>
      </c>
      <c r="H712" s="10">
        <f>IF(B712="","",ROUND(G712/60,2))</f>
      </c>
      <c r="I712" s="11">
        <f>IF(B712="","",C712-F712)</f>
      </c>
      <c r="J712" s="11">
        <f>IF(OR(B712="",G712=0),"",ROUND(I712/H712,2))</f>
      </c>
      <c r="K712" s="9">
        <f>IF(B712="","",IF(COUNTIF($B$2:B712,B712)=1,MAX($K$1:K711)+1,""))</f>
      </c>
    </row>
    <row r="713">
      <c r="G713" s="9">
        <f>IF(B713="","",D713+E713)</f>
      </c>
      <c r="H713" s="10">
        <f>IF(B713="","",ROUND(G713/60,2))</f>
      </c>
      <c r="I713" s="11">
        <f>IF(B713="","",C713-F713)</f>
      </c>
      <c r="J713" s="11">
        <f>IF(OR(B713="",G713=0),"",ROUND(I713/H713,2))</f>
      </c>
      <c r="K713" s="9">
        <f>IF(B713="","",IF(COUNTIF($B$2:B713,B713)=1,MAX($K$1:K712)+1,""))</f>
      </c>
    </row>
    <row r="714">
      <c r="G714" s="9">
        <f>IF(B714="","",D714+E714)</f>
      </c>
      <c r="H714" s="10">
        <f>IF(B714="","",ROUND(G714/60,2))</f>
      </c>
      <c r="I714" s="11">
        <f>IF(B714="","",C714-F714)</f>
      </c>
      <c r="J714" s="11">
        <f>IF(OR(B714="",G714=0),"",ROUND(I714/H714,2))</f>
      </c>
      <c r="K714" s="9">
        <f>IF(B714="","",IF(COUNTIF($B$2:B714,B714)=1,MAX($K$1:K713)+1,""))</f>
      </c>
    </row>
    <row r="715">
      <c r="G715" s="9">
        <f>IF(B715="","",D715+E715)</f>
      </c>
      <c r="H715" s="10">
        <f>IF(B715="","",ROUND(G715/60,2))</f>
      </c>
      <c r="I715" s="11">
        <f>IF(B715="","",C715-F715)</f>
      </c>
      <c r="J715" s="11">
        <f>IF(OR(B715="",G715=0),"",ROUND(I715/H715,2))</f>
      </c>
      <c r="K715" s="9">
        <f>IF(B715="","",IF(COUNTIF($B$2:B715,B715)=1,MAX($K$1:K714)+1,""))</f>
      </c>
    </row>
    <row r="716">
      <c r="G716" s="9">
        <f>IF(B716="","",D716+E716)</f>
      </c>
      <c r="H716" s="10">
        <f>IF(B716="","",ROUND(G716/60,2))</f>
      </c>
      <c r="I716" s="11">
        <f>IF(B716="","",C716-F716)</f>
      </c>
      <c r="J716" s="11">
        <f>IF(OR(B716="",G716=0),"",ROUND(I716/H716,2))</f>
      </c>
      <c r="K716" s="9">
        <f>IF(B716="","",IF(COUNTIF($B$2:B716,B716)=1,MAX($K$1:K715)+1,""))</f>
      </c>
    </row>
    <row r="717">
      <c r="G717" s="9">
        <f>IF(B717="","",D717+E717)</f>
      </c>
      <c r="H717" s="10">
        <f>IF(B717="","",ROUND(G717/60,2))</f>
      </c>
      <c r="I717" s="11">
        <f>IF(B717="","",C717-F717)</f>
      </c>
      <c r="J717" s="11">
        <f>IF(OR(B717="",G717=0),"",ROUND(I717/H717,2))</f>
      </c>
      <c r="K717" s="9">
        <f>IF(B717="","",IF(COUNTIF($B$2:B717,B717)=1,MAX($K$1:K716)+1,""))</f>
      </c>
    </row>
    <row r="718">
      <c r="G718" s="9">
        <f>IF(B718="","",D718+E718)</f>
      </c>
      <c r="H718" s="10">
        <f>IF(B718="","",ROUND(G718/60,2))</f>
      </c>
      <c r="I718" s="11">
        <f>IF(B718="","",C718-F718)</f>
      </c>
      <c r="J718" s="11">
        <f>IF(OR(B718="",G718=0),"",ROUND(I718/H718,2))</f>
      </c>
      <c r="K718" s="9">
        <f>IF(B718="","",IF(COUNTIF($B$2:B718,B718)=1,MAX($K$1:K717)+1,""))</f>
      </c>
    </row>
    <row r="719">
      <c r="G719" s="9">
        <f>IF(B719="","",D719+E719)</f>
      </c>
      <c r="H719" s="10">
        <f>IF(B719="","",ROUND(G719/60,2))</f>
      </c>
      <c r="I719" s="11">
        <f>IF(B719="","",C719-F719)</f>
      </c>
      <c r="J719" s="11">
        <f>IF(OR(B719="",G719=0),"",ROUND(I719/H719,2))</f>
      </c>
      <c r="K719" s="9">
        <f>IF(B719="","",IF(COUNTIF($B$2:B719,B719)=1,MAX($K$1:K718)+1,""))</f>
      </c>
    </row>
    <row r="720">
      <c r="G720" s="9">
        <f>IF(B720="","",D720+E720)</f>
      </c>
      <c r="H720" s="10">
        <f>IF(B720="","",ROUND(G720/60,2))</f>
      </c>
      <c r="I720" s="11">
        <f>IF(B720="","",C720-F720)</f>
      </c>
      <c r="J720" s="11">
        <f>IF(OR(B720="",G720=0),"",ROUND(I720/H720,2))</f>
      </c>
      <c r="K720" s="9">
        <f>IF(B720="","",IF(COUNTIF($B$2:B720,B720)=1,MAX($K$1:K719)+1,""))</f>
      </c>
    </row>
    <row r="721">
      <c r="G721" s="9">
        <f>IF(B721="","",D721+E721)</f>
      </c>
      <c r="H721" s="10">
        <f>IF(B721="","",ROUND(G721/60,2))</f>
      </c>
      <c r="I721" s="11">
        <f>IF(B721="","",C721-F721)</f>
      </c>
      <c r="J721" s="11">
        <f>IF(OR(B721="",G721=0),"",ROUND(I721/H721,2))</f>
      </c>
      <c r="K721" s="9">
        <f>IF(B721="","",IF(COUNTIF($B$2:B721,B721)=1,MAX($K$1:K720)+1,""))</f>
      </c>
    </row>
    <row r="722">
      <c r="G722" s="9">
        <f>IF(B722="","",D722+E722)</f>
      </c>
      <c r="H722" s="10">
        <f>IF(B722="","",ROUND(G722/60,2))</f>
      </c>
      <c r="I722" s="11">
        <f>IF(B722="","",C722-F722)</f>
      </c>
      <c r="J722" s="11">
        <f>IF(OR(B722="",G722=0),"",ROUND(I722/H722,2))</f>
      </c>
      <c r="K722" s="9">
        <f>IF(B722="","",IF(COUNTIF($B$2:B722,B722)=1,MAX($K$1:K721)+1,""))</f>
      </c>
    </row>
    <row r="723">
      <c r="G723" s="9">
        <f>IF(B723="","",D723+E723)</f>
      </c>
      <c r="H723" s="10">
        <f>IF(B723="","",ROUND(G723/60,2))</f>
      </c>
      <c r="I723" s="11">
        <f>IF(B723="","",C723-F723)</f>
      </c>
      <c r="J723" s="11">
        <f>IF(OR(B723="",G723=0),"",ROUND(I723/H723,2))</f>
      </c>
      <c r="K723" s="9">
        <f>IF(B723="","",IF(COUNTIF($B$2:B723,B723)=1,MAX($K$1:K722)+1,""))</f>
      </c>
    </row>
    <row r="724">
      <c r="G724" s="9">
        <f>IF(B724="","",D724+E724)</f>
      </c>
      <c r="H724" s="10">
        <f>IF(B724="","",ROUND(G724/60,2))</f>
      </c>
      <c r="I724" s="11">
        <f>IF(B724="","",C724-F724)</f>
      </c>
      <c r="J724" s="11">
        <f>IF(OR(B724="",G724=0),"",ROUND(I724/H724,2))</f>
      </c>
      <c r="K724" s="9">
        <f>IF(B724="","",IF(COUNTIF($B$2:B724,B724)=1,MAX($K$1:K723)+1,""))</f>
      </c>
    </row>
    <row r="725">
      <c r="G725" s="9">
        <f>IF(B725="","",D725+E725)</f>
      </c>
      <c r="H725" s="10">
        <f>IF(B725="","",ROUND(G725/60,2))</f>
      </c>
      <c r="I725" s="11">
        <f>IF(B725="","",C725-F725)</f>
      </c>
      <c r="J725" s="11">
        <f>IF(OR(B725="",G725=0),"",ROUND(I725/H725,2))</f>
      </c>
      <c r="K725" s="9">
        <f>IF(B725="","",IF(COUNTIF($B$2:B725,B725)=1,MAX($K$1:K724)+1,""))</f>
      </c>
    </row>
    <row r="726">
      <c r="G726" s="9">
        <f>IF(B726="","",D726+E726)</f>
      </c>
      <c r="H726" s="10">
        <f>IF(B726="","",ROUND(G726/60,2))</f>
      </c>
      <c r="I726" s="11">
        <f>IF(B726="","",C726-F726)</f>
      </c>
      <c r="J726" s="11">
        <f>IF(OR(B726="",G726=0),"",ROUND(I726/H726,2))</f>
      </c>
      <c r="K726" s="9">
        <f>IF(B726="","",IF(COUNTIF($B$2:B726,B726)=1,MAX($K$1:K725)+1,""))</f>
      </c>
    </row>
    <row r="727">
      <c r="G727" s="9">
        <f>IF(B727="","",D727+E727)</f>
      </c>
      <c r="H727" s="10">
        <f>IF(B727="","",ROUND(G727/60,2))</f>
      </c>
      <c r="I727" s="11">
        <f>IF(B727="","",C727-F727)</f>
      </c>
      <c r="J727" s="11">
        <f>IF(OR(B727="",G727=0),"",ROUND(I727/H727,2))</f>
      </c>
      <c r="K727" s="9">
        <f>IF(B727="","",IF(COUNTIF($B$2:B727,B727)=1,MAX($K$1:K726)+1,""))</f>
      </c>
    </row>
    <row r="728">
      <c r="G728" s="9">
        <f>IF(B728="","",D728+E728)</f>
      </c>
      <c r="H728" s="10">
        <f>IF(B728="","",ROUND(G728/60,2))</f>
      </c>
      <c r="I728" s="11">
        <f>IF(B728="","",C728-F728)</f>
      </c>
      <c r="J728" s="11">
        <f>IF(OR(B728="",G728=0),"",ROUND(I728/H728,2))</f>
      </c>
      <c r="K728" s="9">
        <f>IF(B728="","",IF(COUNTIF($B$2:B728,B728)=1,MAX($K$1:K727)+1,""))</f>
      </c>
    </row>
    <row r="729">
      <c r="G729" s="9">
        <f>IF(B729="","",D729+E729)</f>
      </c>
      <c r="H729" s="10">
        <f>IF(B729="","",ROUND(G729/60,2))</f>
      </c>
      <c r="I729" s="11">
        <f>IF(B729="","",C729-F729)</f>
      </c>
      <c r="J729" s="11">
        <f>IF(OR(B729="",G729=0),"",ROUND(I729/H729,2))</f>
      </c>
      <c r="K729" s="9">
        <f>IF(B729="","",IF(COUNTIF($B$2:B729,B729)=1,MAX($K$1:K728)+1,""))</f>
      </c>
    </row>
    <row r="730">
      <c r="G730" s="9">
        <f>IF(B730="","",D730+E730)</f>
      </c>
      <c r="H730" s="10">
        <f>IF(B730="","",ROUND(G730/60,2))</f>
      </c>
      <c r="I730" s="11">
        <f>IF(B730="","",C730-F730)</f>
      </c>
      <c r="J730" s="11">
        <f>IF(OR(B730="",G730=0),"",ROUND(I730/H730,2))</f>
      </c>
      <c r="K730" s="9">
        <f>IF(B730="","",IF(COUNTIF($B$2:B730,B730)=1,MAX($K$1:K729)+1,""))</f>
      </c>
    </row>
    <row r="731">
      <c r="G731" s="9">
        <f>IF(B731="","",D731+E731)</f>
      </c>
      <c r="H731" s="10">
        <f>IF(B731="","",ROUND(G731/60,2))</f>
      </c>
      <c r="I731" s="11">
        <f>IF(B731="","",C731-F731)</f>
      </c>
      <c r="J731" s="11">
        <f>IF(OR(B731="",G731=0),"",ROUND(I731/H731,2))</f>
      </c>
      <c r="K731" s="9">
        <f>IF(B731="","",IF(COUNTIF($B$2:B731,B731)=1,MAX($K$1:K730)+1,""))</f>
      </c>
    </row>
    <row r="732">
      <c r="G732" s="9">
        <f>IF(B732="","",D732+E732)</f>
      </c>
      <c r="H732" s="10">
        <f>IF(B732="","",ROUND(G732/60,2))</f>
      </c>
      <c r="I732" s="11">
        <f>IF(B732="","",C732-F732)</f>
      </c>
      <c r="J732" s="11">
        <f>IF(OR(B732="",G732=0),"",ROUND(I732/H732,2))</f>
      </c>
      <c r="K732" s="9">
        <f>IF(B732="","",IF(COUNTIF($B$2:B732,B732)=1,MAX($K$1:K731)+1,""))</f>
      </c>
    </row>
    <row r="733">
      <c r="G733" s="9">
        <f>IF(B733="","",D733+E733)</f>
      </c>
      <c r="H733" s="10">
        <f>IF(B733="","",ROUND(G733/60,2))</f>
      </c>
      <c r="I733" s="11">
        <f>IF(B733="","",C733-F733)</f>
      </c>
      <c r="J733" s="11">
        <f>IF(OR(B733="",G733=0),"",ROUND(I733/H733,2))</f>
      </c>
      <c r="K733" s="9">
        <f>IF(B733="","",IF(COUNTIF($B$2:B733,B733)=1,MAX($K$1:K732)+1,""))</f>
      </c>
    </row>
    <row r="734">
      <c r="G734" s="9">
        <f>IF(B734="","",D734+E734)</f>
      </c>
      <c r="H734" s="10">
        <f>IF(B734="","",ROUND(G734/60,2))</f>
      </c>
      <c r="I734" s="11">
        <f>IF(B734="","",C734-F734)</f>
      </c>
      <c r="J734" s="11">
        <f>IF(OR(B734="",G734=0),"",ROUND(I734/H734,2))</f>
      </c>
      <c r="K734" s="9">
        <f>IF(B734="","",IF(COUNTIF($B$2:B734,B734)=1,MAX($K$1:K733)+1,""))</f>
      </c>
    </row>
    <row r="735">
      <c r="G735" s="9">
        <f>IF(B735="","",D735+E735)</f>
      </c>
      <c r="H735" s="10">
        <f>IF(B735="","",ROUND(G735/60,2))</f>
      </c>
      <c r="I735" s="11">
        <f>IF(B735="","",C735-F735)</f>
      </c>
      <c r="J735" s="11">
        <f>IF(OR(B735="",G735=0),"",ROUND(I735/H735,2))</f>
      </c>
      <c r="K735" s="9">
        <f>IF(B735="","",IF(COUNTIF($B$2:B735,B735)=1,MAX($K$1:K734)+1,""))</f>
      </c>
    </row>
    <row r="736">
      <c r="G736" s="9">
        <f>IF(B736="","",D736+E736)</f>
      </c>
      <c r="H736" s="10">
        <f>IF(B736="","",ROUND(G736/60,2))</f>
      </c>
      <c r="I736" s="11">
        <f>IF(B736="","",C736-F736)</f>
      </c>
      <c r="J736" s="11">
        <f>IF(OR(B736="",G736=0),"",ROUND(I736/H736,2))</f>
      </c>
      <c r="K736" s="9">
        <f>IF(B736="","",IF(COUNTIF($B$2:B736,B736)=1,MAX($K$1:K735)+1,""))</f>
      </c>
    </row>
    <row r="737">
      <c r="G737" s="9">
        <f>IF(B737="","",D737+E737)</f>
      </c>
      <c r="H737" s="10">
        <f>IF(B737="","",ROUND(G737/60,2))</f>
      </c>
      <c r="I737" s="11">
        <f>IF(B737="","",C737-F737)</f>
      </c>
      <c r="J737" s="11">
        <f>IF(OR(B737="",G737=0),"",ROUND(I737/H737,2))</f>
      </c>
      <c r="K737" s="9">
        <f>IF(B737="","",IF(COUNTIF($B$2:B737,B737)=1,MAX($K$1:K736)+1,""))</f>
      </c>
    </row>
    <row r="738">
      <c r="G738" s="9">
        <f>IF(B738="","",D738+E738)</f>
      </c>
      <c r="H738" s="10">
        <f>IF(B738="","",ROUND(G738/60,2))</f>
      </c>
      <c r="I738" s="11">
        <f>IF(B738="","",C738-F738)</f>
      </c>
      <c r="J738" s="11">
        <f>IF(OR(B738="",G738=0),"",ROUND(I738/H738,2))</f>
      </c>
      <c r="K738" s="9">
        <f>IF(B738="","",IF(COUNTIF($B$2:B738,B738)=1,MAX($K$1:K737)+1,""))</f>
      </c>
    </row>
    <row r="739">
      <c r="G739" s="9">
        <f>IF(B739="","",D739+E739)</f>
      </c>
      <c r="H739" s="10">
        <f>IF(B739="","",ROUND(G739/60,2))</f>
      </c>
      <c r="I739" s="11">
        <f>IF(B739="","",C739-F739)</f>
      </c>
      <c r="J739" s="11">
        <f>IF(OR(B739="",G739=0),"",ROUND(I739/H739,2))</f>
      </c>
      <c r="K739" s="9">
        <f>IF(B739="","",IF(COUNTIF($B$2:B739,B739)=1,MAX($K$1:K738)+1,""))</f>
      </c>
    </row>
    <row r="740">
      <c r="G740" s="9">
        <f>IF(B740="","",D740+E740)</f>
      </c>
      <c r="H740" s="10">
        <f>IF(B740="","",ROUND(G740/60,2))</f>
      </c>
      <c r="I740" s="11">
        <f>IF(B740="","",C740-F740)</f>
      </c>
      <c r="J740" s="11">
        <f>IF(OR(B740="",G740=0),"",ROUND(I740/H740,2))</f>
      </c>
      <c r="K740" s="9">
        <f>IF(B740="","",IF(COUNTIF($B$2:B740,B740)=1,MAX($K$1:K739)+1,""))</f>
      </c>
    </row>
    <row r="741">
      <c r="G741" s="9">
        <f>IF(B741="","",D741+E741)</f>
      </c>
      <c r="H741" s="10">
        <f>IF(B741="","",ROUND(G741/60,2))</f>
      </c>
      <c r="I741" s="11">
        <f>IF(B741="","",C741-F741)</f>
      </c>
      <c r="J741" s="11">
        <f>IF(OR(B741="",G741=0),"",ROUND(I741/H741,2))</f>
      </c>
      <c r="K741" s="9">
        <f>IF(B741="","",IF(COUNTIF($B$2:B741,B741)=1,MAX($K$1:K740)+1,""))</f>
      </c>
    </row>
    <row r="742">
      <c r="G742" s="9">
        <f>IF(B742="","",D742+E742)</f>
      </c>
      <c r="H742" s="10">
        <f>IF(B742="","",ROUND(G742/60,2))</f>
      </c>
      <c r="I742" s="11">
        <f>IF(B742="","",C742-F742)</f>
      </c>
      <c r="J742" s="11">
        <f>IF(OR(B742="",G742=0),"",ROUND(I742/H742,2))</f>
      </c>
      <c r="K742" s="9">
        <f>IF(B742="","",IF(COUNTIF($B$2:B742,B742)=1,MAX($K$1:K741)+1,""))</f>
      </c>
    </row>
    <row r="743">
      <c r="G743" s="9">
        <f>IF(B743="","",D743+E743)</f>
      </c>
      <c r="H743" s="10">
        <f>IF(B743="","",ROUND(G743/60,2))</f>
      </c>
      <c r="I743" s="11">
        <f>IF(B743="","",C743-F743)</f>
      </c>
      <c r="J743" s="11">
        <f>IF(OR(B743="",G743=0),"",ROUND(I743/H743,2))</f>
      </c>
      <c r="K743" s="9">
        <f>IF(B743="","",IF(COUNTIF($B$2:B743,B743)=1,MAX($K$1:K742)+1,""))</f>
      </c>
    </row>
    <row r="744">
      <c r="G744" s="9">
        <f>IF(B744="","",D744+E744)</f>
      </c>
      <c r="H744" s="10">
        <f>IF(B744="","",ROUND(G744/60,2))</f>
      </c>
      <c r="I744" s="11">
        <f>IF(B744="","",C744-F744)</f>
      </c>
      <c r="J744" s="11">
        <f>IF(OR(B744="",G744=0),"",ROUND(I744/H744,2))</f>
      </c>
      <c r="K744" s="9">
        <f>IF(B744="","",IF(COUNTIF($B$2:B744,B744)=1,MAX($K$1:K743)+1,""))</f>
      </c>
    </row>
    <row r="745">
      <c r="G745" s="9">
        <f>IF(B745="","",D745+E745)</f>
      </c>
      <c r="H745" s="10">
        <f>IF(B745="","",ROUND(G745/60,2))</f>
      </c>
      <c r="I745" s="11">
        <f>IF(B745="","",C745-F745)</f>
      </c>
      <c r="J745" s="11">
        <f>IF(OR(B745="",G745=0),"",ROUND(I745/H745,2))</f>
      </c>
      <c r="K745" s="9">
        <f>IF(B745="","",IF(COUNTIF($B$2:B745,B745)=1,MAX($K$1:K744)+1,""))</f>
      </c>
    </row>
    <row r="746">
      <c r="G746" s="9">
        <f>IF(B746="","",D746+E746)</f>
      </c>
      <c r="H746" s="10">
        <f>IF(B746="","",ROUND(G746/60,2))</f>
      </c>
      <c r="I746" s="11">
        <f>IF(B746="","",C746-F746)</f>
      </c>
      <c r="J746" s="11">
        <f>IF(OR(B746="",G746=0),"",ROUND(I746/H746,2))</f>
      </c>
      <c r="K746" s="9">
        <f>IF(B746="","",IF(COUNTIF($B$2:B746,B746)=1,MAX($K$1:K745)+1,""))</f>
      </c>
    </row>
    <row r="747">
      <c r="G747" s="9">
        <f>IF(B747="","",D747+E747)</f>
      </c>
      <c r="H747" s="10">
        <f>IF(B747="","",ROUND(G747/60,2))</f>
      </c>
      <c r="I747" s="11">
        <f>IF(B747="","",C747-F747)</f>
      </c>
      <c r="J747" s="11">
        <f>IF(OR(B747="",G747=0),"",ROUND(I747/H747,2))</f>
      </c>
      <c r="K747" s="9">
        <f>IF(B747="","",IF(COUNTIF($B$2:B747,B747)=1,MAX($K$1:K746)+1,""))</f>
      </c>
    </row>
    <row r="748">
      <c r="G748" s="9">
        <f>IF(B748="","",D748+E748)</f>
      </c>
      <c r="H748" s="10">
        <f>IF(B748="","",ROUND(G748/60,2))</f>
      </c>
      <c r="I748" s="11">
        <f>IF(B748="","",C748-F748)</f>
      </c>
      <c r="J748" s="11">
        <f>IF(OR(B748="",G748=0),"",ROUND(I748/H748,2))</f>
      </c>
      <c r="K748" s="9">
        <f>IF(B748="","",IF(COUNTIF($B$2:B748,B748)=1,MAX($K$1:K747)+1,""))</f>
      </c>
    </row>
    <row r="749">
      <c r="G749" s="9">
        <f>IF(B749="","",D749+E749)</f>
      </c>
      <c r="H749" s="10">
        <f>IF(B749="","",ROUND(G749/60,2))</f>
      </c>
      <c r="I749" s="11">
        <f>IF(B749="","",C749-F749)</f>
      </c>
      <c r="J749" s="11">
        <f>IF(OR(B749="",G749=0),"",ROUND(I749/H749,2))</f>
      </c>
      <c r="K749" s="9">
        <f>IF(B749="","",IF(COUNTIF($B$2:B749,B749)=1,MAX($K$1:K748)+1,""))</f>
      </c>
    </row>
    <row r="750">
      <c r="G750" s="9">
        <f>IF(B750="","",D750+E750)</f>
      </c>
      <c r="H750" s="10">
        <f>IF(B750="","",ROUND(G750/60,2))</f>
      </c>
      <c r="I750" s="11">
        <f>IF(B750="","",C750-F750)</f>
      </c>
      <c r="J750" s="11">
        <f>IF(OR(B750="",G750=0),"",ROUND(I750/H750,2))</f>
      </c>
      <c r="K750" s="9">
        <f>IF(B750="","",IF(COUNTIF($B$2:B750,B750)=1,MAX($K$1:K749)+1,""))</f>
      </c>
    </row>
    <row r="751">
      <c r="G751" s="9">
        <f>IF(B751="","",D751+E751)</f>
      </c>
      <c r="H751" s="10">
        <f>IF(B751="","",ROUND(G751/60,2))</f>
      </c>
      <c r="I751" s="11">
        <f>IF(B751="","",C751-F751)</f>
      </c>
      <c r="J751" s="11">
        <f>IF(OR(B751="",G751=0),"",ROUND(I751/H751,2))</f>
      </c>
      <c r="K751" s="9">
        <f>IF(B751="","",IF(COUNTIF($B$2:B751,B751)=1,MAX($K$1:K750)+1,""))</f>
      </c>
    </row>
    <row r="752">
      <c r="G752" s="9">
        <f>IF(B752="","",D752+E752)</f>
      </c>
      <c r="H752" s="10">
        <f>IF(B752="","",ROUND(G752/60,2))</f>
      </c>
      <c r="I752" s="11">
        <f>IF(B752="","",C752-F752)</f>
      </c>
      <c r="J752" s="11">
        <f>IF(OR(B752="",G752=0),"",ROUND(I752/H752,2))</f>
      </c>
      <c r="K752" s="9">
        <f>IF(B752="","",IF(COUNTIF($B$2:B752,B752)=1,MAX($K$1:K751)+1,""))</f>
      </c>
    </row>
    <row r="753">
      <c r="G753" s="9">
        <f>IF(B753="","",D753+E753)</f>
      </c>
      <c r="H753" s="10">
        <f>IF(B753="","",ROUND(G753/60,2))</f>
      </c>
      <c r="I753" s="11">
        <f>IF(B753="","",C753-F753)</f>
      </c>
      <c r="J753" s="11">
        <f>IF(OR(B753="",G753=0),"",ROUND(I753/H753,2))</f>
      </c>
      <c r="K753" s="9">
        <f>IF(B753="","",IF(COUNTIF($B$2:B753,B753)=1,MAX($K$1:K752)+1,""))</f>
      </c>
    </row>
    <row r="754">
      <c r="G754" s="9">
        <f>IF(B754="","",D754+E754)</f>
      </c>
      <c r="H754" s="10">
        <f>IF(B754="","",ROUND(G754/60,2))</f>
      </c>
      <c r="I754" s="11">
        <f>IF(B754="","",C754-F754)</f>
      </c>
      <c r="J754" s="11">
        <f>IF(OR(B754="",G754=0),"",ROUND(I754/H754,2))</f>
      </c>
      <c r="K754" s="9">
        <f>IF(B754="","",IF(COUNTIF($B$2:B754,B754)=1,MAX($K$1:K753)+1,""))</f>
      </c>
    </row>
    <row r="755">
      <c r="G755" s="9">
        <f>IF(B755="","",D755+E755)</f>
      </c>
      <c r="H755" s="10">
        <f>IF(B755="","",ROUND(G755/60,2))</f>
      </c>
      <c r="I755" s="11">
        <f>IF(B755="","",C755-F755)</f>
      </c>
      <c r="J755" s="11">
        <f>IF(OR(B755="",G755=0),"",ROUND(I755/H755,2))</f>
      </c>
      <c r="K755" s="9">
        <f>IF(B755="","",IF(COUNTIF($B$2:B755,B755)=1,MAX($K$1:K754)+1,""))</f>
      </c>
    </row>
    <row r="756">
      <c r="G756" s="9">
        <f>IF(B756="","",D756+E756)</f>
      </c>
      <c r="H756" s="10">
        <f>IF(B756="","",ROUND(G756/60,2))</f>
      </c>
      <c r="I756" s="11">
        <f>IF(B756="","",C756-F756)</f>
      </c>
      <c r="J756" s="11">
        <f>IF(OR(B756="",G756=0),"",ROUND(I756/H756,2))</f>
      </c>
      <c r="K756" s="9">
        <f>IF(B756="","",IF(COUNTIF($B$2:B756,B756)=1,MAX($K$1:K755)+1,""))</f>
      </c>
    </row>
    <row r="757">
      <c r="G757" s="9">
        <f>IF(B757="","",D757+E757)</f>
      </c>
      <c r="H757" s="10">
        <f>IF(B757="","",ROUND(G757/60,2))</f>
      </c>
      <c r="I757" s="11">
        <f>IF(B757="","",C757-F757)</f>
      </c>
      <c r="J757" s="11">
        <f>IF(OR(B757="",G757=0),"",ROUND(I757/H757,2))</f>
      </c>
      <c r="K757" s="9">
        <f>IF(B757="","",IF(COUNTIF($B$2:B757,B757)=1,MAX($K$1:K756)+1,""))</f>
      </c>
    </row>
    <row r="758">
      <c r="G758" s="9">
        <f>IF(B758="","",D758+E758)</f>
      </c>
      <c r="H758" s="10">
        <f>IF(B758="","",ROUND(G758/60,2))</f>
      </c>
      <c r="I758" s="11">
        <f>IF(B758="","",C758-F758)</f>
      </c>
      <c r="J758" s="11">
        <f>IF(OR(B758="",G758=0),"",ROUND(I758/H758,2))</f>
      </c>
      <c r="K758" s="9">
        <f>IF(B758="","",IF(COUNTIF($B$2:B758,B758)=1,MAX($K$1:K757)+1,""))</f>
      </c>
    </row>
    <row r="759">
      <c r="G759" s="9">
        <f>IF(B759="","",D759+E759)</f>
      </c>
      <c r="H759" s="10">
        <f>IF(B759="","",ROUND(G759/60,2))</f>
      </c>
      <c r="I759" s="11">
        <f>IF(B759="","",C759-F759)</f>
      </c>
      <c r="J759" s="11">
        <f>IF(OR(B759="",G759=0),"",ROUND(I759/H759,2))</f>
      </c>
      <c r="K759" s="9">
        <f>IF(B759="","",IF(COUNTIF($B$2:B759,B759)=1,MAX($K$1:K758)+1,""))</f>
      </c>
    </row>
    <row r="760">
      <c r="G760" s="9">
        <f>IF(B760="","",D760+E760)</f>
      </c>
      <c r="H760" s="10">
        <f>IF(B760="","",ROUND(G760/60,2))</f>
      </c>
      <c r="I760" s="11">
        <f>IF(B760="","",C760-F760)</f>
      </c>
      <c r="J760" s="11">
        <f>IF(OR(B760="",G760=0),"",ROUND(I760/H760,2))</f>
      </c>
      <c r="K760" s="9">
        <f>IF(B760="","",IF(COUNTIF($B$2:B760,B760)=1,MAX($K$1:K759)+1,""))</f>
      </c>
    </row>
    <row r="761">
      <c r="G761" s="9">
        <f>IF(B761="","",D761+E761)</f>
      </c>
      <c r="H761" s="10">
        <f>IF(B761="","",ROUND(G761/60,2))</f>
      </c>
      <c r="I761" s="11">
        <f>IF(B761="","",C761-F761)</f>
      </c>
      <c r="J761" s="11">
        <f>IF(OR(B761="",G761=0),"",ROUND(I761/H761,2))</f>
      </c>
      <c r="K761" s="9">
        <f>IF(B761="","",IF(COUNTIF($B$2:B761,B761)=1,MAX($K$1:K760)+1,""))</f>
      </c>
    </row>
    <row r="762">
      <c r="G762" s="9">
        <f>IF(B762="","",D762+E762)</f>
      </c>
      <c r="H762" s="10">
        <f>IF(B762="","",ROUND(G762/60,2))</f>
      </c>
      <c r="I762" s="11">
        <f>IF(B762="","",C762-F762)</f>
      </c>
      <c r="J762" s="11">
        <f>IF(OR(B762="",G762=0),"",ROUND(I762/H762,2))</f>
      </c>
      <c r="K762" s="9">
        <f>IF(B762="","",IF(COUNTIF($B$2:B762,B762)=1,MAX($K$1:K761)+1,""))</f>
      </c>
    </row>
    <row r="763">
      <c r="G763" s="9">
        <f>IF(B763="","",D763+E763)</f>
      </c>
      <c r="H763" s="10">
        <f>IF(B763="","",ROUND(G763/60,2))</f>
      </c>
      <c r="I763" s="11">
        <f>IF(B763="","",C763-F763)</f>
      </c>
      <c r="J763" s="11">
        <f>IF(OR(B763="",G763=0),"",ROUND(I763/H763,2))</f>
      </c>
      <c r="K763" s="9">
        <f>IF(B763="","",IF(COUNTIF($B$2:B763,B763)=1,MAX($K$1:K762)+1,""))</f>
      </c>
    </row>
    <row r="764">
      <c r="G764" s="9">
        <f>IF(B764="","",D764+E764)</f>
      </c>
      <c r="H764" s="10">
        <f>IF(B764="","",ROUND(G764/60,2))</f>
      </c>
      <c r="I764" s="11">
        <f>IF(B764="","",C764-F764)</f>
      </c>
      <c r="J764" s="11">
        <f>IF(OR(B764="",G764=0),"",ROUND(I764/H764,2))</f>
      </c>
      <c r="K764" s="9">
        <f>IF(B764="","",IF(COUNTIF($B$2:B764,B764)=1,MAX($K$1:K763)+1,""))</f>
      </c>
    </row>
    <row r="765">
      <c r="G765" s="9">
        <f>IF(B765="","",D765+E765)</f>
      </c>
      <c r="H765" s="10">
        <f>IF(B765="","",ROUND(G765/60,2))</f>
      </c>
      <c r="I765" s="11">
        <f>IF(B765="","",C765-F765)</f>
      </c>
      <c r="J765" s="11">
        <f>IF(OR(B765="",G765=0),"",ROUND(I765/H765,2))</f>
      </c>
      <c r="K765" s="9">
        <f>IF(B765="","",IF(COUNTIF($B$2:B765,B765)=1,MAX($K$1:K764)+1,""))</f>
      </c>
    </row>
    <row r="766">
      <c r="G766" s="9">
        <f>IF(B766="","",D766+E766)</f>
      </c>
      <c r="H766" s="10">
        <f>IF(B766="","",ROUND(G766/60,2))</f>
      </c>
      <c r="I766" s="11">
        <f>IF(B766="","",C766-F766)</f>
      </c>
      <c r="J766" s="11">
        <f>IF(OR(B766="",G766=0),"",ROUND(I766/H766,2))</f>
      </c>
      <c r="K766" s="9">
        <f>IF(B766="","",IF(COUNTIF($B$2:B766,B766)=1,MAX($K$1:K765)+1,""))</f>
      </c>
    </row>
    <row r="767">
      <c r="G767" s="9">
        <f>IF(B767="","",D767+E767)</f>
      </c>
      <c r="H767" s="10">
        <f>IF(B767="","",ROUND(G767/60,2))</f>
      </c>
      <c r="I767" s="11">
        <f>IF(B767="","",C767-F767)</f>
      </c>
      <c r="J767" s="11">
        <f>IF(OR(B767="",G767=0),"",ROUND(I767/H767,2))</f>
      </c>
      <c r="K767" s="9">
        <f>IF(B767="","",IF(COUNTIF($B$2:B767,B767)=1,MAX($K$1:K766)+1,""))</f>
      </c>
    </row>
    <row r="768">
      <c r="G768" s="9">
        <f>IF(B768="","",D768+E768)</f>
      </c>
      <c r="H768" s="10">
        <f>IF(B768="","",ROUND(G768/60,2))</f>
      </c>
      <c r="I768" s="11">
        <f>IF(B768="","",C768-F768)</f>
      </c>
      <c r="J768" s="11">
        <f>IF(OR(B768="",G768=0),"",ROUND(I768/H768,2))</f>
      </c>
      <c r="K768" s="9">
        <f>IF(B768="","",IF(COUNTIF($B$2:B768,B768)=1,MAX($K$1:K767)+1,""))</f>
      </c>
    </row>
    <row r="769">
      <c r="G769" s="9">
        <f>IF(B769="","",D769+E769)</f>
      </c>
      <c r="H769" s="10">
        <f>IF(B769="","",ROUND(G769/60,2))</f>
      </c>
      <c r="I769" s="11">
        <f>IF(B769="","",C769-F769)</f>
      </c>
      <c r="J769" s="11">
        <f>IF(OR(B769="",G769=0),"",ROUND(I769/H769,2))</f>
      </c>
      <c r="K769" s="9">
        <f>IF(B769="","",IF(COUNTIF($B$2:B769,B769)=1,MAX($K$1:K768)+1,""))</f>
      </c>
    </row>
    <row r="770">
      <c r="G770" s="9">
        <f>IF(B770="","",D770+E770)</f>
      </c>
      <c r="H770" s="10">
        <f>IF(B770="","",ROUND(G770/60,2))</f>
      </c>
      <c r="I770" s="11">
        <f>IF(B770="","",C770-F770)</f>
      </c>
      <c r="J770" s="11">
        <f>IF(OR(B770="",G770=0),"",ROUND(I770/H770,2))</f>
      </c>
      <c r="K770" s="9">
        <f>IF(B770="","",IF(COUNTIF($B$2:B770,B770)=1,MAX($K$1:K769)+1,""))</f>
      </c>
    </row>
    <row r="771">
      <c r="G771" s="9">
        <f>IF(B771="","",D771+E771)</f>
      </c>
      <c r="H771" s="10">
        <f>IF(B771="","",ROUND(G771/60,2))</f>
      </c>
      <c r="I771" s="11">
        <f>IF(B771="","",C771-F771)</f>
      </c>
      <c r="J771" s="11">
        <f>IF(OR(B771="",G771=0),"",ROUND(I771/H771,2))</f>
      </c>
      <c r="K771" s="9">
        <f>IF(B771="","",IF(COUNTIF($B$2:B771,B771)=1,MAX($K$1:K770)+1,""))</f>
      </c>
    </row>
    <row r="772">
      <c r="G772" s="9">
        <f>IF(B772="","",D772+E772)</f>
      </c>
      <c r="H772" s="10">
        <f>IF(B772="","",ROUND(G772/60,2))</f>
      </c>
      <c r="I772" s="11">
        <f>IF(B772="","",C772-F772)</f>
      </c>
      <c r="J772" s="11">
        <f>IF(OR(B772="",G772=0),"",ROUND(I772/H772,2))</f>
      </c>
      <c r="K772" s="9">
        <f>IF(B772="","",IF(COUNTIF($B$2:B772,B772)=1,MAX($K$1:K771)+1,""))</f>
      </c>
    </row>
    <row r="773">
      <c r="G773" s="9">
        <f>IF(B773="","",D773+E773)</f>
      </c>
      <c r="H773" s="10">
        <f>IF(B773="","",ROUND(G773/60,2))</f>
      </c>
      <c r="I773" s="11">
        <f>IF(B773="","",C773-F773)</f>
      </c>
      <c r="J773" s="11">
        <f>IF(OR(B773="",G773=0),"",ROUND(I773/H773,2))</f>
      </c>
      <c r="K773" s="9">
        <f>IF(B773="","",IF(COUNTIF($B$2:B773,B773)=1,MAX($K$1:K772)+1,""))</f>
      </c>
    </row>
    <row r="774">
      <c r="G774" s="9">
        <f>IF(B774="","",D774+E774)</f>
      </c>
      <c r="H774" s="10">
        <f>IF(B774="","",ROUND(G774/60,2))</f>
      </c>
      <c r="I774" s="11">
        <f>IF(B774="","",C774-F774)</f>
      </c>
      <c r="J774" s="11">
        <f>IF(OR(B774="",G774=0),"",ROUND(I774/H774,2))</f>
      </c>
      <c r="K774" s="9">
        <f>IF(B774="","",IF(COUNTIF($B$2:B774,B774)=1,MAX($K$1:K773)+1,""))</f>
      </c>
    </row>
    <row r="775">
      <c r="G775" s="9">
        <f>IF(B775="","",D775+E775)</f>
      </c>
      <c r="H775" s="10">
        <f>IF(B775="","",ROUND(G775/60,2))</f>
      </c>
      <c r="I775" s="11">
        <f>IF(B775="","",C775-F775)</f>
      </c>
      <c r="J775" s="11">
        <f>IF(OR(B775="",G775=0),"",ROUND(I775/H775,2))</f>
      </c>
      <c r="K775" s="9">
        <f>IF(B775="","",IF(COUNTIF($B$2:B775,B775)=1,MAX($K$1:K774)+1,""))</f>
      </c>
    </row>
    <row r="776">
      <c r="G776" s="9">
        <f>IF(B776="","",D776+E776)</f>
      </c>
      <c r="H776" s="10">
        <f>IF(B776="","",ROUND(G776/60,2))</f>
      </c>
      <c r="I776" s="11">
        <f>IF(B776="","",C776-F776)</f>
      </c>
      <c r="J776" s="11">
        <f>IF(OR(B776="",G776=0),"",ROUND(I776/H776,2))</f>
      </c>
      <c r="K776" s="9">
        <f>IF(B776="","",IF(COUNTIF($B$2:B776,B776)=1,MAX($K$1:K775)+1,""))</f>
      </c>
    </row>
    <row r="777">
      <c r="G777" s="9">
        <f>IF(B777="","",D777+E777)</f>
      </c>
      <c r="H777" s="10">
        <f>IF(B777="","",ROUND(G777/60,2))</f>
      </c>
      <c r="I777" s="11">
        <f>IF(B777="","",C777-F777)</f>
      </c>
      <c r="J777" s="11">
        <f>IF(OR(B777="",G777=0),"",ROUND(I777/H777,2))</f>
      </c>
      <c r="K777" s="9">
        <f>IF(B777="","",IF(COUNTIF($B$2:B777,B777)=1,MAX($K$1:K776)+1,""))</f>
      </c>
    </row>
    <row r="778">
      <c r="G778" s="9">
        <f>IF(B778="","",D778+E778)</f>
      </c>
      <c r="H778" s="10">
        <f>IF(B778="","",ROUND(G778/60,2))</f>
      </c>
      <c r="I778" s="11">
        <f>IF(B778="","",C778-F778)</f>
      </c>
      <c r="J778" s="11">
        <f>IF(OR(B778="",G778=0),"",ROUND(I778/H778,2))</f>
      </c>
      <c r="K778" s="9">
        <f>IF(B778="","",IF(COUNTIF($B$2:B778,B778)=1,MAX($K$1:K777)+1,""))</f>
      </c>
    </row>
    <row r="779">
      <c r="G779" s="9">
        <f>IF(B779="","",D779+E779)</f>
      </c>
      <c r="H779" s="10">
        <f>IF(B779="","",ROUND(G779/60,2))</f>
      </c>
      <c r="I779" s="11">
        <f>IF(B779="","",C779-F779)</f>
      </c>
      <c r="J779" s="11">
        <f>IF(OR(B779="",G779=0),"",ROUND(I779/H779,2))</f>
      </c>
      <c r="K779" s="9">
        <f>IF(B779="","",IF(COUNTIF($B$2:B779,B779)=1,MAX($K$1:K778)+1,""))</f>
      </c>
    </row>
    <row r="780">
      <c r="G780" s="9">
        <f>IF(B780="","",D780+E780)</f>
      </c>
      <c r="H780" s="10">
        <f>IF(B780="","",ROUND(G780/60,2))</f>
      </c>
      <c r="I780" s="11">
        <f>IF(B780="","",C780-F780)</f>
      </c>
      <c r="J780" s="11">
        <f>IF(OR(B780="",G780=0),"",ROUND(I780/H780,2))</f>
      </c>
      <c r="K780" s="9">
        <f>IF(B780="","",IF(COUNTIF($B$2:B780,B780)=1,MAX($K$1:K779)+1,""))</f>
      </c>
    </row>
    <row r="781">
      <c r="G781" s="9">
        <f>IF(B781="","",D781+E781)</f>
      </c>
      <c r="H781" s="10">
        <f>IF(B781="","",ROUND(G781/60,2))</f>
      </c>
      <c r="I781" s="11">
        <f>IF(B781="","",C781-F781)</f>
      </c>
      <c r="J781" s="11">
        <f>IF(OR(B781="",G781=0),"",ROUND(I781/H781,2))</f>
      </c>
      <c r="K781" s="9">
        <f>IF(B781="","",IF(COUNTIF($B$2:B781,B781)=1,MAX($K$1:K780)+1,""))</f>
      </c>
    </row>
    <row r="782">
      <c r="G782" s="9">
        <f>IF(B782="","",D782+E782)</f>
      </c>
      <c r="H782" s="10">
        <f>IF(B782="","",ROUND(G782/60,2))</f>
      </c>
      <c r="I782" s="11">
        <f>IF(B782="","",C782-F782)</f>
      </c>
      <c r="J782" s="11">
        <f>IF(OR(B782="",G782=0),"",ROUND(I782/H782,2))</f>
      </c>
      <c r="K782" s="9">
        <f>IF(B782="","",IF(COUNTIF($B$2:B782,B782)=1,MAX($K$1:K781)+1,""))</f>
      </c>
    </row>
    <row r="783">
      <c r="G783" s="9">
        <f>IF(B783="","",D783+E783)</f>
      </c>
      <c r="H783" s="10">
        <f>IF(B783="","",ROUND(G783/60,2))</f>
      </c>
      <c r="I783" s="11">
        <f>IF(B783="","",C783-F783)</f>
      </c>
      <c r="J783" s="11">
        <f>IF(OR(B783="",G783=0),"",ROUND(I783/H783,2))</f>
      </c>
      <c r="K783" s="9">
        <f>IF(B783="","",IF(COUNTIF($B$2:B783,B783)=1,MAX($K$1:K782)+1,""))</f>
      </c>
    </row>
    <row r="784">
      <c r="G784" s="9">
        <f>IF(B784="","",D784+E784)</f>
      </c>
      <c r="H784" s="10">
        <f>IF(B784="","",ROUND(G784/60,2))</f>
      </c>
      <c r="I784" s="11">
        <f>IF(B784="","",C784-F784)</f>
      </c>
      <c r="J784" s="11">
        <f>IF(OR(B784="",G784=0),"",ROUND(I784/H784,2))</f>
      </c>
      <c r="K784" s="9">
        <f>IF(B784="","",IF(COUNTIF($B$2:B784,B784)=1,MAX($K$1:K783)+1,""))</f>
      </c>
    </row>
    <row r="785">
      <c r="G785" s="9">
        <f>IF(B785="","",D785+E785)</f>
      </c>
      <c r="H785" s="10">
        <f>IF(B785="","",ROUND(G785/60,2))</f>
      </c>
      <c r="I785" s="11">
        <f>IF(B785="","",C785-F785)</f>
      </c>
      <c r="J785" s="11">
        <f>IF(OR(B785="",G785=0),"",ROUND(I785/H785,2))</f>
      </c>
      <c r="K785" s="9">
        <f>IF(B785="","",IF(COUNTIF($B$2:B785,B785)=1,MAX($K$1:K784)+1,""))</f>
      </c>
    </row>
    <row r="786">
      <c r="G786" s="9">
        <f>IF(B786="","",D786+E786)</f>
      </c>
      <c r="H786" s="10">
        <f>IF(B786="","",ROUND(G786/60,2))</f>
      </c>
      <c r="I786" s="11">
        <f>IF(B786="","",C786-F786)</f>
      </c>
      <c r="J786" s="11">
        <f>IF(OR(B786="",G786=0),"",ROUND(I786/H786,2))</f>
      </c>
      <c r="K786" s="9">
        <f>IF(B786="","",IF(COUNTIF($B$2:B786,B786)=1,MAX($K$1:K785)+1,""))</f>
      </c>
    </row>
    <row r="787">
      <c r="G787" s="9">
        <f>IF(B787="","",D787+E787)</f>
      </c>
      <c r="H787" s="10">
        <f>IF(B787="","",ROUND(G787/60,2))</f>
      </c>
      <c r="I787" s="11">
        <f>IF(B787="","",C787-F787)</f>
      </c>
      <c r="J787" s="11">
        <f>IF(OR(B787="",G787=0),"",ROUND(I787/H787,2))</f>
      </c>
      <c r="K787" s="9">
        <f>IF(B787="","",IF(COUNTIF($B$2:B787,B787)=1,MAX($K$1:K786)+1,""))</f>
      </c>
    </row>
    <row r="788">
      <c r="G788" s="9">
        <f>IF(B788="","",D788+E788)</f>
      </c>
      <c r="H788" s="10">
        <f>IF(B788="","",ROUND(G788/60,2))</f>
      </c>
      <c r="I788" s="11">
        <f>IF(B788="","",C788-F788)</f>
      </c>
      <c r="J788" s="11">
        <f>IF(OR(B788="",G788=0),"",ROUND(I788/H788,2))</f>
      </c>
      <c r="K788" s="9">
        <f>IF(B788="","",IF(COUNTIF($B$2:B788,B788)=1,MAX($K$1:K787)+1,""))</f>
      </c>
    </row>
    <row r="789">
      <c r="G789" s="9">
        <f>IF(B789="","",D789+E789)</f>
      </c>
      <c r="H789" s="10">
        <f>IF(B789="","",ROUND(G789/60,2))</f>
      </c>
      <c r="I789" s="11">
        <f>IF(B789="","",C789-F789)</f>
      </c>
      <c r="J789" s="11">
        <f>IF(OR(B789="",G789=0),"",ROUND(I789/H789,2))</f>
      </c>
      <c r="K789" s="9">
        <f>IF(B789="","",IF(COUNTIF($B$2:B789,B789)=1,MAX($K$1:K788)+1,""))</f>
      </c>
    </row>
    <row r="790">
      <c r="G790" s="9">
        <f>IF(B790="","",D790+E790)</f>
      </c>
      <c r="H790" s="10">
        <f>IF(B790="","",ROUND(G790/60,2))</f>
      </c>
      <c r="I790" s="11">
        <f>IF(B790="","",C790-F790)</f>
      </c>
      <c r="J790" s="11">
        <f>IF(OR(B790="",G790=0),"",ROUND(I790/H790,2))</f>
      </c>
      <c r="K790" s="9">
        <f>IF(B790="","",IF(COUNTIF($B$2:B790,B790)=1,MAX($K$1:K789)+1,""))</f>
      </c>
    </row>
    <row r="791">
      <c r="G791" s="9">
        <f>IF(B791="","",D791+E791)</f>
      </c>
      <c r="H791" s="10">
        <f>IF(B791="","",ROUND(G791/60,2))</f>
      </c>
      <c r="I791" s="11">
        <f>IF(B791="","",C791-F791)</f>
      </c>
      <c r="J791" s="11">
        <f>IF(OR(B791="",G791=0),"",ROUND(I791/H791,2))</f>
      </c>
      <c r="K791" s="9">
        <f>IF(B791="","",IF(COUNTIF($B$2:B791,B791)=1,MAX($K$1:K790)+1,""))</f>
      </c>
    </row>
    <row r="792">
      <c r="G792" s="9">
        <f>IF(B792="","",D792+E792)</f>
      </c>
      <c r="H792" s="10">
        <f>IF(B792="","",ROUND(G792/60,2))</f>
      </c>
      <c r="I792" s="11">
        <f>IF(B792="","",C792-F792)</f>
      </c>
      <c r="J792" s="11">
        <f>IF(OR(B792="",G792=0),"",ROUND(I792/H792,2))</f>
      </c>
      <c r="K792" s="9">
        <f>IF(B792="","",IF(COUNTIF($B$2:B792,B792)=1,MAX($K$1:K791)+1,""))</f>
      </c>
    </row>
    <row r="793">
      <c r="G793" s="9">
        <f>IF(B793="","",D793+E793)</f>
      </c>
      <c r="H793" s="10">
        <f>IF(B793="","",ROUND(G793/60,2))</f>
      </c>
      <c r="I793" s="11">
        <f>IF(B793="","",C793-F793)</f>
      </c>
      <c r="J793" s="11">
        <f>IF(OR(B793="",G793=0),"",ROUND(I793/H793,2))</f>
      </c>
      <c r="K793" s="9">
        <f>IF(B793="","",IF(COUNTIF($B$2:B793,B793)=1,MAX($K$1:K792)+1,""))</f>
      </c>
    </row>
    <row r="794">
      <c r="G794" s="9">
        <f>IF(B794="","",D794+E794)</f>
      </c>
      <c r="H794" s="10">
        <f>IF(B794="","",ROUND(G794/60,2))</f>
      </c>
      <c r="I794" s="11">
        <f>IF(B794="","",C794-F794)</f>
      </c>
      <c r="J794" s="11">
        <f>IF(OR(B794="",G794=0),"",ROUND(I794/H794,2))</f>
      </c>
      <c r="K794" s="9">
        <f>IF(B794="","",IF(COUNTIF($B$2:B794,B794)=1,MAX($K$1:K793)+1,""))</f>
      </c>
    </row>
    <row r="795">
      <c r="G795" s="9">
        <f>IF(B795="","",D795+E795)</f>
      </c>
      <c r="H795" s="10">
        <f>IF(B795="","",ROUND(G795/60,2))</f>
      </c>
      <c r="I795" s="11">
        <f>IF(B795="","",C795-F795)</f>
      </c>
      <c r="J795" s="11">
        <f>IF(OR(B795="",G795=0),"",ROUND(I795/H795,2))</f>
      </c>
      <c r="K795" s="9">
        <f>IF(B795="","",IF(COUNTIF($B$2:B795,B795)=1,MAX($K$1:K794)+1,""))</f>
      </c>
    </row>
    <row r="796">
      <c r="G796" s="9">
        <f>IF(B796="","",D796+E796)</f>
      </c>
      <c r="H796" s="10">
        <f>IF(B796="","",ROUND(G796/60,2))</f>
      </c>
      <c r="I796" s="11">
        <f>IF(B796="","",C796-F796)</f>
      </c>
      <c r="J796" s="11">
        <f>IF(OR(B796="",G796=0),"",ROUND(I796/H796,2))</f>
      </c>
      <c r="K796" s="9">
        <f>IF(B796="","",IF(COUNTIF($B$2:B796,B796)=1,MAX($K$1:K795)+1,""))</f>
      </c>
    </row>
    <row r="797">
      <c r="G797" s="9">
        <f>IF(B797="","",D797+E797)</f>
      </c>
      <c r="H797" s="10">
        <f>IF(B797="","",ROUND(G797/60,2))</f>
      </c>
      <c r="I797" s="11">
        <f>IF(B797="","",C797-F797)</f>
      </c>
      <c r="J797" s="11">
        <f>IF(OR(B797="",G797=0),"",ROUND(I797/H797,2))</f>
      </c>
      <c r="K797" s="9">
        <f>IF(B797="","",IF(COUNTIF($B$2:B797,B797)=1,MAX($K$1:K796)+1,""))</f>
      </c>
    </row>
    <row r="798">
      <c r="G798" s="9">
        <f>IF(B798="","",D798+E798)</f>
      </c>
      <c r="H798" s="10">
        <f>IF(B798="","",ROUND(G798/60,2))</f>
      </c>
      <c r="I798" s="11">
        <f>IF(B798="","",C798-F798)</f>
      </c>
      <c r="J798" s="11">
        <f>IF(OR(B798="",G798=0),"",ROUND(I798/H798,2))</f>
      </c>
      <c r="K798" s="9">
        <f>IF(B798="","",IF(COUNTIF($B$2:B798,B798)=1,MAX($K$1:K797)+1,""))</f>
      </c>
    </row>
    <row r="799">
      <c r="G799" s="9">
        <f>IF(B799="","",D799+E799)</f>
      </c>
      <c r="H799" s="10">
        <f>IF(B799="","",ROUND(G799/60,2))</f>
      </c>
      <c r="I799" s="11">
        <f>IF(B799="","",C799-F799)</f>
      </c>
      <c r="J799" s="11">
        <f>IF(OR(B799="",G799=0),"",ROUND(I799/H799,2))</f>
      </c>
      <c r="K799" s="9">
        <f>IF(B799="","",IF(COUNTIF($B$2:B799,B799)=1,MAX($K$1:K798)+1,""))</f>
      </c>
    </row>
    <row r="800">
      <c r="G800" s="9">
        <f>IF(B800="","",D800+E800)</f>
      </c>
      <c r="H800" s="10">
        <f>IF(B800="","",ROUND(G800/60,2))</f>
      </c>
      <c r="I800" s="11">
        <f>IF(B800="","",C800-F800)</f>
      </c>
      <c r="J800" s="11">
        <f>IF(OR(B800="",G800=0),"",ROUND(I800/H800,2))</f>
      </c>
      <c r="K800" s="9">
        <f>IF(B800="","",IF(COUNTIF($B$2:B800,B800)=1,MAX($K$1:K799)+1,""))</f>
      </c>
    </row>
    <row r="801">
      <c r="G801" s="9">
        <f>IF(B801="","",D801+E801)</f>
      </c>
      <c r="H801" s="10">
        <f>IF(B801="","",ROUND(G801/60,2))</f>
      </c>
      <c r="I801" s="11">
        <f>IF(B801="","",C801-F801)</f>
      </c>
      <c r="J801" s="11">
        <f>IF(OR(B801="",G801=0),"",ROUND(I801/H801,2))</f>
      </c>
      <c r="K801" s="9">
        <f>IF(B801="","",IF(COUNTIF($B$2:B801,B801)=1,MAX($K$1:K800)+1,""))</f>
      </c>
    </row>
    <row r="802">
      <c r="G802" s="9">
        <f>IF(B802="","",D802+E802)</f>
      </c>
      <c r="H802" s="10">
        <f>IF(B802="","",ROUND(G802/60,2))</f>
      </c>
      <c r="I802" s="11">
        <f>IF(B802="","",C802-F802)</f>
      </c>
      <c r="J802" s="11">
        <f>IF(OR(B802="",G802=0),"",ROUND(I802/H802,2))</f>
      </c>
      <c r="K802" s="9">
        <f>IF(B802="","",IF(COUNTIF($B$2:B802,B802)=1,MAX($K$1:K801)+1,""))</f>
      </c>
    </row>
    <row r="803">
      <c r="G803" s="9">
        <f>IF(B803="","",D803+E803)</f>
      </c>
      <c r="H803" s="10">
        <f>IF(B803="","",ROUND(G803/60,2))</f>
      </c>
      <c r="I803" s="11">
        <f>IF(B803="","",C803-F803)</f>
      </c>
      <c r="J803" s="11">
        <f>IF(OR(B803="",G803=0),"",ROUND(I803/H803,2))</f>
      </c>
      <c r="K803" s="9">
        <f>IF(B803="","",IF(COUNTIF($B$2:B803,B803)=1,MAX($K$1:K802)+1,""))</f>
      </c>
    </row>
    <row r="804">
      <c r="G804" s="9">
        <f>IF(B804="","",D804+E804)</f>
      </c>
      <c r="H804" s="10">
        <f>IF(B804="","",ROUND(G804/60,2))</f>
      </c>
      <c r="I804" s="11">
        <f>IF(B804="","",C804-F804)</f>
      </c>
      <c r="J804" s="11">
        <f>IF(OR(B804="",G804=0),"",ROUND(I804/H804,2))</f>
      </c>
      <c r="K804" s="9">
        <f>IF(B804="","",IF(COUNTIF($B$2:B804,B804)=1,MAX($K$1:K803)+1,""))</f>
      </c>
    </row>
    <row r="805">
      <c r="G805" s="9">
        <f>IF(B805="","",D805+E805)</f>
      </c>
      <c r="H805" s="10">
        <f>IF(B805="","",ROUND(G805/60,2))</f>
      </c>
      <c r="I805" s="11">
        <f>IF(B805="","",C805-F805)</f>
      </c>
      <c r="J805" s="11">
        <f>IF(OR(B805="",G805=0),"",ROUND(I805/H805,2))</f>
      </c>
      <c r="K805" s="9">
        <f>IF(B805="","",IF(COUNTIF($B$2:B805,B805)=1,MAX($K$1:K804)+1,""))</f>
      </c>
    </row>
    <row r="806">
      <c r="G806" s="9">
        <f>IF(B806="","",D806+E806)</f>
      </c>
      <c r="H806" s="10">
        <f>IF(B806="","",ROUND(G806/60,2))</f>
      </c>
      <c r="I806" s="11">
        <f>IF(B806="","",C806-F806)</f>
      </c>
      <c r="J806" s="11">
        <f>IF(OR(B806="",G806=0),"",ROUND(I806/H806,2))</f>
      </c>
      <c r="K806" s="9">
        <f>IF(B806="","",IF(COUNTIF($B$2:B806,B806)=1,MAX($K$1:K805)+1,""))</f>
      </c>
    </row>
    <row r="807">
      <c r="G807" s="9">
        <f>IF(B807="","",D807+E807)</f>
      </c>
      <c r="H807" s="10">
        <f>IF(B807="","",ROUND(G807/60,2))</f>
      </c>
      <c r="I807" s="11">
        <f>IF(B807="","",C807-F807)</f>
      </c>
      <c r="J807" s="11">
        <f>IF(OR(B807="",G807=0),"",ROUND(I807/H807,2))</f>
      </c>
      <c r="K807" s="9">
        <f>IF(B807="","",IF(COUNTIF($B$2:B807,B807)=1,MAX($K$1:K806)+1,""))</f>
      </c>
    </row>
    <row r="808">
      <c r="G808" s="9">
        <f>IF(B808="","",D808+E808)</f>
      </c>
      <c r="H808" s="10">
        <f>IF(B808="","",ROUND(G808/60,2))</f>
      </c>
      <c r="I808" s="11">
        <f>IF(B808="","",C808-F808)</f>
      </c>
      <c r="J808" s="11">
        <f>IF(OR(B808="",G808=0),"",ROUND(I808/H808,2))</f>
      </c>
      <c r="K808" s="9">
        <f>IF(B808="","",IF(COUNTIF($B$2:B808,B808)=1,MAX($K$1:K807)+1,""))</f>
      </c>
    </row>
    <row r="809">
      <c r="G809" s="9">
        <f>IF(B809="","",D809+E809)</f>
      </c>
      <c r="H809" s="10">
        <f>IF(B809="","",ROUND(G809/60,2))</f>
      </c>
      <c r="I809" s="11">
        <f>IF(B809="","",C809-F809)</f>
      </c>
      <c r="J809" s="11">
        <f>IF(OR(B809="",G809=0),"",ROUND(I809/H809,2))</f>
      </c>
      <c r="K809" s="9">
        <f>IF(B809="","",IF(COUNTIF($B$2:B809,B809)=1,MAX($K$1:K808)+1,""))</f>
      </c>
    </row>
    <row r="810">
      <c r="G810" s="9">
        <f>IF(B810="","",D810+E810)</f>
      </c>
      <c r="H810" s="10">
        <f>IF(B810="","",ROUND(G810/60,2))</f>
      </c>
      <c r="I810" s="11">
        <f>IF(B810="","",C810-F810)</f>
      </c>
      <c r="J810" s="11">
        <f>IF(OR(B810="",G810=0),"",ROUND(I810/H810,2))</f>
      </c>
      <c r="K810" s="9">
        <f>IF(B810="","",IF(COUNTIF($B$2:B810,B810)=1,MAX($K$1:K809)+1,""))</f>
      </c>
    </row>
    <row r="811">
      <c r="G811" s="9">
        <f>IF(B811="","",D811+E811)</f>
      </c>
      <c r="H811" s="10">
        <f>IF(B811="","",ROUND(G811/60,2))</f>
      </c>
      <c r="I811" s="11">
        <f>IF(B811="","",C811-F811)</f>
      </c>
      <c r="J811" s="11">
        <f>IF(OR(B811="",G811=0),"",ROUND(I811/H811,2))</f>
      </c>
      <c r="K811" s="9">
        <f>IF(B811="","",IF(COUNTIF($B$2:B811,B811)=1,MAX($K$1:K810)+1,""))</f>
      </c>
    </row>
    <row r="812">
      <c r="G812" s="9">
        <f>IF(B812="","",D812+E812)</f>
      </c>
      <c r="H812" s="10">
        <f>IF(B812="","",ROUND(G812/60,2))</f>
      </c>
      <c r="I812" s="11">
        <f>IF(B812="","",C812-F812)</f>
      </c>
      <c r="J812" s="11">
        <f>IF(OR(B812="",G812=0),"",ROUND(I812/H812,2))</f>
      </c>
      <c r="K812" s="9">
        <f>IF(B812="","",IF(COUNTIF($B$2:B812,B812)=1,MAX($K$1:K811)+1,""))</f>
      </c>
    </row>
    <row r="813">
      <c r="G813" s="9">
        <f>IF(B813="","",D813+E813)</f>
      </c>
      <c r="H813" s="10">
        <f>IF(B813="","",ROUND(G813/60,2))</f>
      </c>
      <c r="I813" s="11">
        <f>IF(B813="","",C813-F813)</f>
      </c>
      <c r="J813" s="11">
        <f>IF(OR(B813="",G813=0),"",ROUND(I813/H813,2))</f>
      </c>
      <c r="K813" s="9">
        <f>IF(B813="","",IF(COUNTIF($B$2:B813,B813)=1,MAX($K$1:K812)+1,""))</f>
      </c>
    </row>
    <row r="814">
      <c r="G814" s="9">
        <f>IF(B814="","",D814+E814)</f>
      </c>
      <c r="H814" s="10">
        <f>IF(B814="","",ROUND(G814/60,2))</f>
      </c>
      <c r="I814" s="11">
        <f>IF(B814="","",C814-F814)</f>
      </c>
      <c r="J814" s="11">
        <f>IF(OR(B814="",G814=0),"",ROUND(I814/H814,2))</f>
      </c>
      <c r="K814" s="9">
        <f>IF(B814="","",IF(COUNTIF($B$2:B814,B814)=1,MAX($K$1:K813)+1,""))</f>
      </c>
    </row>
    <row r="815">
      <c r="G815" s="9">
        <f>IF(B815="","",D815+E815)</f>
      </c>
      <c r="H815" s="10">
        <f>IF(B815="","",ROUND(G815/60,2))</f>
      </c>
      <c r="I815" s="11">
        <f>IF(B815="","",C815-F815)</f>
      </c>
      <c r="J815" s="11">
        <f>IF(OR(B815="",G815=0),"",ROUND(I815/H815,2))</f>
      </c>
      <c r="K815" s="9">
        <f>IF(B815="","",IF(COUNTIF($B$2:B815,B815)=1,MAX($K$1:K814)+1,""))</f>
      </c>
    </row>
    <row r="816">
      <c r="G816" s="9">
        <f>IF(B816="","",D816+E816)</f>
      </c>
      <c r="H816" s="10">
        <f>IF(B816="","",ROUND(G816/60,2))</f>
      </c>
      <c r="I816" s="11">
        <f>IF(B816="","",C816-F816)</f>
      </c>
      <c r="J816" s="11">
        <f>IF(OR(B816="",G816=0),"",ROUND(I816/H816,2))</f>
      </c>
      <c r="K816" s="9">
        <f>IF(B816="","",IF(COUNTIF($B$2:B816,B816)=1,MAX($K$1:K815)+1,""))</f>
      </c>
    </row>
    <row r="817">
      <c r="G817" s="9">
        <f>IF(B817="","",D817+E817)</f>
      </c>
      <c r="H817" s="10">
        <f>IF(B817="","",ROUND(G817/60,2))</f>
      </c>
      <c r="I817" s="11">
        <f>IF(B817="","",C817-F817)</f>
      </c>
      <c r="J817" s="11">
        <f>IF(OR(B817="",G817=0),"",ROUND(I817/H817,2))</f>
      </c>
      <c r="K817" s="9">
        <f>IF(B817="","",IF(COUNTIF($B$2:B817,B817)=1,MAX($K$1:K816)+1,""))</f>
      </c>
    </row>
    <row r="818">
      <c r="G818" s="9">
        <f>IF(B818="","",D818+E818)</f>
      </c>
      <c r="H818" s="10">
        <f>IF(B818="","",ROUND(G818/60,2))</f>
      </c>
      <c r="I818" s="11">
        <f>IF(B818="","",C818-F818)</f>
      </c>
      <c r="J818" s="11">
        <f>IF(OR(B818="",G818=0),"",ROUND(I818/H818,2))</f>
      </c>
      <c r="K818" s="9">
        <f>IF(B818="","",IF(COUNTIF($B$2:B818,B818)=1,MAX($K$1:K817)+1,""))</f>
      </c>
    </row>
    <row r="819">
      <c r="G819" s="9">
        <f>IF(B819="","",D819+E819)</f>
      </c>
      <c r="H819" s="10">
        <f>IF(B819="","",ROUND(G819/60,2))</f>
      </c>
      <c r="I819" s="11">
        <f>IF(B819="","",C819-F819)</f>
      </c>
      <c r="J819" s="11">
        <f>IF(OR(B819="",G819=0),"",ROUND(I819/H819,2))</f>
      </c>
      <c r="K819" s="9">
        <f>IF(B819="","",IF(COUNTIF($B$2:B819,B819)=1,MAX($K$1:K818)+1,""))</f>
      </c>
    </row>
    <row r="820">
      <c r="G820" s="9">
        <f>IF(B820="","",D820+E820)</f>
      </c>
      <c r="H820" s="10">
        <f>IF(B820="","",ROUND(G820/60,2))</f>
      </c>
      <c r="I820" s="11">
        <f>IF(B820="","",C820-F820)</f>
      </c>
      <c r="J820" s="11">
        <f>IF(OR(B820="",G820=0),"",ROUND(I820/H820,2))</f>
      </c>
      <c r="K820" s="9">
        <f>IF(B820="","",IF(COUNTIF($B$2:B820,B820)=1,MAX($K$1:K819)+1,""))</f>
      </c>
    </row>
    <row r="821">
      <c r="G821" s="9">
        <f>IF(B821="","",D821+E821)</f>
      </c>
      <c r="H821" s="10">
        <f>IF(B821="","",ROUND(G821/60,2))</f>
      </c>
      <c r="I821" s="11">
        <f>IF(B821="","",C821-F821)</f>
      </c>
      <c r="J821" s="11">
        <f>IF(OR(B821="",G821=0),"",ROUND(I821/H821,2))</f>
      </c>
      <c r="K821" s="9">
        <f>IF(B821="","",IF(COUNTIF($B$2:B821,B821)=1,MAX($K$1:K820)+1,""))</f>
      </c>
    </row>
    <row r="822">
      <c r="G822" s="9">
        <f>IF(B822="","",D822+E822)</f>
      </c>
      <c r="H822" s="10">
        <f>IF(B822="","",ROUND(G822/60,2))</f>
      </c>
      <c r="I822" s="11">
        <f>IF(B822="","",C822-F822)</f>
      </c>
      <c r="J822" s="11">
        <f>IF(OR(B822="",G822=0),"",ROUND(I822/H822,2))</f>
      </c>
      <c r="K822" s="9">
        <f>IF(B822="","",IF(COUNTIF($B$2:B822,B822)=1,MAX($K$1:K821)+1,""))</f>
      </c>
    </row>
    <row r="823">
      <c r="G823" s="9">
        <f>IF(B823="","",D823+E823)</f>
      </c>
      <c r="H823" s="10">
        <f>IF(B823="","",ROUND(G823/60,2))</f>
      </c>
      <c r="I823" s="11">
        <f>IF(B823="","",C823-F823)</f>
      </c>
      <c r="J823" s="11">
        <f>IF(OR(B823="",G823=0),"",ROUND(I823/H823,2))</f>
      </c>
      <c r="K823" s="9">
        <f>IF(B823="","",IF(COUNTIF($B$2:B823,B823)=1,MAX($K$1:K822)+1,""))</f>
      </c>
    </row>
    <row r="824">
      <c r="G824" s="9">
        <f>IF(B824="","",D824+E824)</f>
      </c>
      <c r="H824" s="10">
        <f>IF(B824="","",ROUND(G824/60,2))</f>
      </c>
      <c r="I824" s="11">
        <f>IF(B824="","",C824-F824)</f>
      </c>
      <c r="J824" s="11">
        <f>IF(OR(B824="",G824=0),"",ROUND(I824/H824,2))</f>
      </c>
      <c r="K824" s="9">
        <f>IF(B824="","",IF(COUNTIF($B$2:B824,B824)=1,MAX($K$1:K823)+1,""))</f>
      </c>
    </row>
    <row r="825">
      <c r="G825" s="9">
        <f>IF(B825="","",D825+E825)</f>
      </c>
      <c r="H825" s="10">
        <f>IF(B825="","",ROUND(G825/60,2))</f>
      </c>
      <c r="I825" s="11">
        <f>IF(B825="","",C825-F825)</f>
      </c>
      <c r="J825" s="11">
        <f>IF(OR(B825="",G825=0),"",ROUND(I825/H825,2))</f>
      </c>
      <c r="K825" s="9">
        <f>IF(B825="","",IF(COUNTIF($B$2:B825,B825)=1,MAX($K$1:K824)+1,""))</f>
      </c>
    </row>
    <row r="826">
      <c r="G826" s="9">
        <f>IF(B826="","",D826+E826)</f>
      </c>
      <c r="H826" s="10">
        <f>IF(B826="","",ROUND(G826/60,2))</f>
      </c>
      <c r="I826" s="11">
        <f>IF(B826="","",C826-F826)</f>
      </c>
      <c r="J826" s="11">
        <f>IF(OR(B826="",G826=0),"",ROUND(I826/H826,2))</f>
      </c>
      <c r="K826" s="9">
        <f>IF(B826="","",IF(COUNTIF($B$2:B826,B826)=1,MAX($K$1:K825)+1,""))</f>
      </c>
    </row>
    <row r="827">
      <c r="G827" s="9">
        <f>IF(B827="","",D827+E827)</f>
      </c>
      <c r="H827" s="10">
        <f>IF(B827="","",ROUND(G827/60,2))</f>
      </c>
      <c r="I827" s="11">
        <f>IF(B827="","",C827-F827)</f>
      </c>
      <c r="J827" s="11">
        <f>IF(OR(B827="",G827=0),"",ROUND(I827/H827,2))</f>
      </c>
      <c r="K827" s="9">
        <f>IF(B827="","",IF(COUNTIF($B$2:B827,B827)=1,MAX($K$1:K826)+1,""))</f>
      </c>
    </row>
    <row r="828">
      <c r="G828" s="9">
        <f>IF(B828="","",D828+E828)</f>
      </c>
      <c r="H828" s="10">
        <f>IF(B828="","",ROUND(G828/60,2))</f>
      </c>
      <c r="I828" s="11">
        <f>IF(B828="","",C828-F828)</f>
      </c>
      <c r="J828" s="11">
        <f>IF(OR(B828="",G828=0),"",ROUND(I828/H828,2))</f>
      </c>
      <c r="K828" s="9">
        <f>IF(B828="","",IF(COUNTIF($B$2:B828,B828)=1,MAX($K$1:K827)+1,""))</f>
      </c>
    </row>
    <row r="829">
      <c r="G829" s="9">
        <f>IF(B829="","",D829+E829)</f>
      </c>
      <c r="H829" s="10">
        <f>IF(B829="","",ROUND(G829/60,2))</f>
      </c>
      <c r="I829" s="11">
        <f>IF(B829="","",C829-F829)</f>
      </c>
      <c r="J829" s="11">
        <f>IF(OR(B829="",G829=0),"",ROUND(I829/H829,2))</f>
      </c>
      <c r="K829" s="9">
        <f>IF(B829="","",IF(COUNTIF($B$2:B829,B829)=1,MAX($K$1:K828)+1,""))</f>
      </c>
    </row>
    <row r="830">
      <c r="G830" s="9">
        <f>IF(B830="","",D830+E830)</f>
      </c>
      <c r="H830" s="10">
        <f>IF(B830="","",ROUND(G830/60,2))</f>
      </c>
      <c r="I830" s="11">
        <f>IF(B830="","",C830-F830)</f>
      </c>
      <c r="J830" s="11">
        <f>IF(OR(B830="",G830=0),"",ROUND(I830/H830,2))</f>
      </c>
      <c r="K830" s="9">
        <f>IF(B830="","",IF(COUNTIF($B$2:B830,B830)=1,MAX($K$1:K829)+1,""))</f>
      </c>
    </row>
    <row r="831">
      <c r="G831" s="9">
        <f>IF(B831="","",D831+E831)</f>
      </c>
      <c r="H831" s="10">
        <f>IF(B831="","",ROUND(G831/60,2))</f>
      </c>
      <c r="I831" s="11">
        <f>IF(B831="","",C831-F831)</f>
      </c>
      <c r="J831" s="11">
        <f>IF(OR(B831="",G831=0),"",ROUND(I831/H831,2))</f>
      </c>
      <c r="K831" s="9">
        <f>IF(B831="","",IF(COUNTIF($B$2:B831,B831)=1,MAX($K$1:K830)+1,""))</f>
      </c>
    </row>
    <row r="832">
      <c r="G832" s="9">
        <f>IF(B832="","",D832+E832)</f>
      </c>
      <c r="H832" s="10">
        <f>IF(B832="","",ROUND(G832/60,2))</f>
      </c>
      <c r="I832" s="11">
        <f>IF(B832="","",C832-F832)</f>
      </c>
      <c r="J832" s="11">
        <f>IF(OR(B832="",G832=0),"",ROUND(I832/H832,2))</f>
      </c>
      <c r="K832" s="9">
        <f>IF(B832="","",IF(COUNTIF($B$2:B832,B832)=1,MAX($K$1:K831)+1,""))</f>
      </c>
    </row>
    <row r="833">
      <c r="G833" s="9">
        <f>IF(B833="","",D833+E833)</f>
      </c>
      <c r="H833" s="10">
        <f>IF(B833="","",ROUND(G833/60,2))</f>
      </c>
      <c r="I833" s="11">
        <f>IF(B833="","",C833-F833)</f>
      </c>
      <c r="J833" s="11">
        <f>IF(OR(B833="",G833=0),"",ROUND(I833/H833,2))</f>
      </c>
      <c r="K833" s="9">
        <f>IF(B833="","",IF(COUNTIF($B$2:B833,B833)=1,MAX($K$1:K832)+1,""))</f>
      </c>
    </row>
    <row r="834">
      <c r="G834" s="9">
        <f>IF(B834="","",D834+E834)</f>
      </c>
      <c r="H834" s="10">
        <f>IF(B834="","",ROUND(G834/60,2))</f>
      </c>
      <c r="I834" s="11">
        <f>IF(B834="","",C834-F834)</f>
      </c>
      <c r="J834" s="11">
        <f>IF(OR(B834="",G834=0),"",ROUND(I834/H834,2))</f>
      </c>
      <c r="K834" s="9">
        <f>IF(B834="","",IF(COUNTIF($B$2:B834,B834)=1,MAX($K$1:K833)+1,""))</f>
      </c>
    </row>
    <row r="835">
      <c r="G835" s="9">
        <f>IF(B835="","",D835+E835)</f>
      </c>
      <c r="H835" s="10">
        <f>IF(B835="","",ROUND(G835/60,2))</f>
      </c>
      <c r="I835" s="11">
        <f>IF(B835="","",C835-F835)</f>
      </c>
      <c r="J835" s="11">
        <f>IF(OR(B835="",G835=0),"",ROUND(I835/H835,2))</f>
      </c>
      <c r="K835" s="9">
        <f>IF(B835="","",IF(COUNTIF($B$2:B835,B835)=1,MAX($K$1:K834)+1,""))</f>
      </c>
    </row>
    <row r="836">
      <c r="G836" s="9">
        <f>IF(B836="","",D836+E836)</f>
      </c>
      <c r="H836" s="10">
        <f>IF(B836="","",ROUND(G836/60,2))</f>
      </c>
      <c r="I836" s="11">
        <f>IF(B836="","",C836-F836)</f>
      </c>
      <c r="J836" s="11">
        <f>IF(OR(B836="",G836=0),"",ROUND(I836/H836,2))</f>
      </c>
      <c r="K836" s="9">
        <f>IF(B836="","",IF(COUNTIF($B$2:B836,B836)=1,MAX($K$1:K835)+1,""))</f>
      </c>
    </row>
    <row r="837">
      <c r="G837" s="9">
        <f>IF(B837="","",D837+E837)</f>
      </c>
      <c r="H837" s="10">
        <f>IF(B837="","",ROUND(G837/60,2))</f>
      </c>
      <c r="I837" s="11">
        <f>IF(B837="","",C837-F837)</f>
      </c>
      <c r="J837" s="11">
        <f>IF(OR(B837="",G837=0),"",ROUND(I837/H837,2))</f>
      </c>
      <c r="K837" s="9">
        <f>IF(B837="","",IF(COUNTIF($B$2:B837,B837)=1,MAX($K$1:K836)+1,""))</f>
      </c>
    </row>
    <row r="838">
      <c r="G838" s="9">
        <f>IF(B838="","",D838+E838)</f>
      </c>
      <c r="H838" s="10">
        <f>IF(B838="","",ROUND(G838/60,2))</f>
      </c>
      <c r="I838" s="11">
        <f>IF(B838="","",C838-F838)</f>
      </c>
      <c r="J838" s="11">
        <f>IF(OR(B838="",G838=0),"",ROUND(I838/H838,2))</f>
      </c>
      <c r="K838" s="9">
        <f>IF(B838="","",IF(COUNTIF($B$2:B838,B838)=1,MAX($K$1:K837)+1,""))</f>
      </c>
    </row>
    <row r="839">
      <c r="G839" s="9">
        <f>IF(B839="","",D839+E839)</f>
      </c>
      <c r="H839" s="10">
        <f>IF(B839="","",ROUND(G839/60,2))</f>
      </c>
      <c r="I839" s="11">
        <f>IF(B839="","",C839-F839)</f>
      </c>
      <c r="J839" s="11">
        <f>IF(OR(B839="",G839=0),"",ROUND(I839/H839,2))</f>
      </c>
      <c r="K839" s="9">
        <f>IF(B839="","",IF(COUNTIF($B$2:B839,B839)=1,MAX($K$1:K838)+1,""))</f>
      </c>
    </row>
    <row r="840">
      <c r="G840" s="9">
        <f>IF(B840="","",D840+E840)</f>
      </c>
      <c r="H840" s="10">
        <f>IF(B840="","",ROUND(G840/60,2))</f>
      </c>
      <c r="I840" s="11">
        <f>IF(B840="","",C840-F840)</f>
      </c>
      <c r="J840" s="11">
        <f>IF(OR(B840="",G840=0),"",ROUND(I840/H840,2))</f>
      </c>
      <c r="K840" s="9">
        <f>IF(B840="","",IF(COUNTIF($B$2:B840,B840)=1,MAX($K$1:K839)+1,""))</f>
      </c>
    </row>
    <row r="841">
      <c r="G841" s="9">
        <f>IF(B841="","",D841+E841)</f>
      </c>
      <c r="H841" s="10">
        <f>IF(B841="","",ROUND(G841/60,2))</f>
      </c>
      <c r="I841" s="11">
        <f>IF(B841="","",C841-F841)</f>
      </c>
      <c r="J841" s="11">
        <f>IF(OR(B841="",G841=0),"",ROUND(I841/H841,2))</f>
      </c>
      <c r="K841" s="9">
        <f>IF(B841="","",IF(COUNTIF($B$2:B841,B841)=1,MAX($K$1:K840)+1,""))</f>
      </c>
    </row>
    <row r="842">
      <c r="G842" s="9">
        <f>IF(B842="","",D842+E842)</f>
      </c>
      <c r="H842" s="10">
        <f>IF(B842="","",ROUND(G842/60,2))</f>
      </c>
      <c r="I842" s="11">
        <f>IF(B842="","",C842-F842)</f>
      </c>
      <c r="J842" s="11">
        <f>IF(OR(B842="",G842=0),"",ROUND(I842/H842,2))</f>
      </c>
      <c r="K842" s="9">
        <f>IF(B842="","",IF(COUNTIF($B$2:B842,B842)=1,MAX($K$1:K841)+1,""))</f>
      </c>
    </row>
    <row r="843">
      <c r="G843" s="9">
        <f>IF(B843="","",D843+E843)</f>
      </c>
      <c r="H843" s="10">
        <f>IF(B843="","",ROUND(G843/60,2))</f>
      </c>
      <c r="I843" s="11">
        <f>IF(B843="","",C843-F843)</f>
      </c>
      <c r="J843" s="11">
        <f>IF(OR(B843="",G843=0),"",ROUND(I843/H843,2))</f>
      </c>
      <c r="K843" s="9">
        <f>IF(B843="","",IF(COUNTIF($B$2:B843,B843)=1,MAX($K$1:K842)+1,""))</f>
      </c>
    </row>
    <row r="844">
      <c r="G844" s="9">
        <f>IF(B844="","",D844+E844)</f>
      </c>
      <c r="H844" s="10">
        <f>IF(B844="","",ROUND(G844/60,2))</f>
      </c>
      <c r="I844" s="11">
        <f>IF(B844="","",C844-F844)</f>
      </c>
      <c r="J844" s="11">
        <f>IF(OR(B844="",G844=0),"",ROUND(I844/H844,2))</f>
      </c>
      <c r="K844" s="9">
        <f>IF(B844="","",IF(COUNTIF($B$2:B844,B844)=1,MAX($K$1:K843)+1,""))</f>
      </c>
    </row>
    <row r="845">
      <c r="G845" s="9">
        <f>IF(B845="","",D845+E845)</f>
      </c>
      <c r="H845" s="10">
        <f>IF(B845="","",ROUND(G845/60,2))</f>
      </c>
      <c r="I845" s="11">
        <f>IF(B845="","",C845-F845)</f>
      </c>
      <c r="J845" s="11">
        <f>IF(OR(B845="",G845=0),"",ROUND(I845/H845,2))</f>
      </c>
      <c r="K845" s="9">
        <f>IF(B845="","",IF(COUNTIF($B$2:B845,B845)=1,MAX($K$1:K844)+1,""))</f>
      </c>
    </row>
    <row r="846">
      <c r="G846" s="9">
        <f>IF(B846="","",D846+E846)</f>
      </c>
      <c r="H846" s="10">
        <f>IF(B846="","",ROUND(G846/60,2))</f>
      </c>
      <c r="I846" s="11">
        <f>IF(B846="","",C846-F846)</f>
      </c>
      <c r="J846" s="11">
        <f>IF(OR(B846="",G846=0),"",ROUND(I846/H846,2))</f>
      </c>
      <c r="K846" s="9">
        <f>IF(B846="","",IF(COUNTIF($B$2:B846,B846)=1,MAX($K$1:K845)+1,""))</f>
      </c>
    </row>
    <row r="847">
      <c r="G847" s="9">
        <f>IF(B847="","",D847+E847)</f>
      </c>
      <c r="H847" s="10">
        <f>IF(B847="","",ROUND(G847/60,2))</f>
      </c>
      <c r="I847" s="11">
        <f>IF(B847="","",C847-F847)</f>
      </c>
      <c r="J847" s="11">
        <f>IF(OR(B847="",G847=0),"",ROUND(I847/H847,2))</f>
      </c>
      <c r="K847" s="9">
        <f>IF(B847="","",IF(COUNTIF($B$2:B847,B847)=1,MAX($K$1:K846)+1,""))</f>
      </c>
    </row>
    <row r="848">
      <c r="G848" s="9">
        <f>IF(B848="","",D848+E848)</f>
      </c>
      <c r="H848" s="10">
        <f>IF(B848="","",ROUND(G848/60,2))</f>
      </c>
      <c r="I848" s="11">
        <f>IF(B848="","",C848-F848)</f>
      </c>
      <c r="J848" s="11">
        <f>IF(OR(B848="",G848=0),"",ROUND(I848/H848,2))</f>
      </c>
      <c r="K848" s="9">
        <f>IF(B848="","",IF(COUNTIF($B$2:B848,B848)=1,MAX($K$1:K847)+1,""))</f>
      </c>
    </row>
    <row r="849">
      <c r="G849" s="9">
        <f>IF(B849="","",D849+E849)</f>
      </c>
      <c r="H849" s="10">
        <f>IF(B849="","",ROUND(G849/60,2))</f>
      </c>
      <c r="I849" s="11">
        <f>IF(B849="","",C849-F849)</f>
      </c>
      <c r="J849" s="11">
        <f>IF(OR(B849="",G849=0),"",ROUND(I849/H849,2))</f>
      </c>
      <c r="K849" s="9">
        <f>IF(B849="","",IF(COUNTIF($B$2:B849,B849)=1,MAX($K$1:K848)+1,""))</f>
      </c>
    </row>
    <row r="850">
      <c r="G850" s="9">
        <f>IF(B850="","",D850+E850)</f>
      </c>
      <c r="H850" s="10">
        <f>IF(B850="","",ROUND(G850/60,2))</f>
      </c>
      <c r="I850" s="11">
        <f>IF(B850="","",C850-F850)</f>
      </c>
      <c r="J850" s="11">
        <f>IF(OR(B850="",G850=0),"",ROUND(I850/H850,2))</f>
      </c>
      <c r="K850" s="9">
        <f>IF(B850="","",IF(COUNTIF($B$2:B850,B850)=1,MAX($K$1:K849)+1,""))</f>
      </c>
    </row>
    <row r="851">
      <c r="G851" s="9">
        <f>IF(B851="","",D851+E851)</f>
      </c>
      <c r="H851" s="10">
        <f>IF(B851="","",ROUND(G851/60,2))</f>
      </c>
      <c r="I851" s="11">
        <f>IF(B851="","",C851-F851)</f>
      </c>
      <c r="J851" s="11">
        <f>IF(OR(B851="",G851=0),"",ROUND(I851/H851,2))</f>
      </c>
      <c r="K851" s="9">
        <f>IF(B851="","",IF(COUNTIF($B$2:B851,B851)=1,MAX($K$1:K850)+1,""))</f>
      </c>
    </row>
    <row r="852">
      <c r="G852" s="9">
        <f>IF(B852="","",D852+E852)</f>
      </c>
      <c r="H852" s="10">
        <f>IF(B852="","",ROUND(G852/60,2))</f>
      </c>
      <c r="I852" s="11">
        <f>IF(B852="","",C852-F852)</f>
      </c>
      <c r="J852" s="11">
        <f>IF(OR(B852="",G852=0),"",ROUND(I852/H852,2))</f>
      </c>
      <c r="K852" s="9">
        <f>IF(B852="","",IF(COUNTIF($B$2:B852,B852)=1,MAX($K$1:K851)+1,""))</f>
      </c>
    </row>
    <row r="853">
      <c r="G853" s="9">
        <f>IF(B853="","",D853+E853)</f>
      </c>
      <c r="H853" s="10">
        <f>IF(B853="","",ROUND(G853/60,2))</f>
      </c>
      <c r="I853" s="11">
        <f>IF(B853="","",C853-F853)</f>
      </c>
      <c r="J853" s="11">
        <f>IF(OR(B853="",G853=0),"",ROUND(I853/H853,2))</f>
      </c>
      <c r="K853" s="9">
        <f>IF(B853="","",IF(COUNTIF($B$2:B853,B853)=1,MAX($K$1:K852)+1,""))</f>
      </c>
    </row>
    <row r="854">
      <c r="G854" s="9">
        <f>IF(B854="","",D854+E854)</f>
      </c>
      <c r="H854" s="10">
        <f>IF(B854="","",ROUND(G854/60,2))</f>
      </c>
      <c r="I854" s="11">
        <f>IF(B854="","",C854-F854)</f>
      </c>
      <c r="J854" s="11">
        <f>IF(OR(B854="",G854=0),"",ROUND(I854/H854,2))</f>
      </c>
      <c r="K854" s="9">
        <f>IF(B854="","",IF(COUNTIF($B$2:B854,B854)=1,MAX($K$1:K853)+1,""))</f>
      </c>
    </row>
    <row r="855">
      <c r="G855" s="9">
        <f>IF(B855="","",D855+E855)</f>
      </c>
      <c r="H855" s="10">
        <f>IF(B855="","",ROUND(G855/60,2))</f>
      </c>
      <c r="I855" s="11">
        <f>IF(B855="","",C855-F855)</f>
      </c>
      <c r="J855" s="11">
        <f>IF(OR(B855="",G855=0),"",ROUND(I855/H855,2))</f>
      </c>
      <c r="K855" s="9">
        <f>IF(B855="","",IF(COUNTIF($B$2:B855,B855)=1,MAX($K$1:K854)+1,""))</f>
      </c>
    </row>
    <row r="856">
      <c r="G856" s="9">
        <f>IF(B856="","",D856+E856)</f>
      </c>
      <c r="H856" s="10">
        <f>IF(B856="","",ROUND(G856/60,2))</f>
      </c>
      <c r="I856" s="11">
        <f>IF(B856="","",C856-F856)</f>
      </c>
      <c r="J856" s="11">
        <f>IF(OR(B856="",G856=0),"",ROUND(I856/H856,2))</f>
      </c>
      <c r="K856" s="9">
        <f>IF(B856="","",IF(COUNTIF($B$2:B856,B856)=1,MAX($K$1:K855)+1,""))</f>
      </c>
    </row>
    <row r="857">
      <c r="G857" s="9">
        <f>IF(B857="","",D857+E857)</f>
      </c>
      <c r="H857" s="10">
        <f>IF(B857="","",ROUND(G857/60,2))</f>
      </c>
      <c r="I857" s="11">
        <f>IF(B857="","",C857-F857)</f>
      </c>
      <c r="J857" s="11">
        <f>IF(OR(B857="",G857=0),"",ROUND(I857/H857,2))</f>
      </c>
      <c r="K857" s="9">
        <f>IF(B857="","",IF(COUNTIF($B$2:B857,B857)=1,MAX($K$1:K856)+1,""))</f>
      </c>
    </row>
    <row r="858">
      <c r="G858" s="9">
        <f>IF(B858="","",D858+E858)</f>
      </c>
      <c r="H858" s="10">
        <f>IF(B858="","",ROUND(G858/60,2))</f>
      </c>
      <c r="I858" s="11">
        <f>IF(B858="","",C858-F858)</f>
      </c>
      <c r="J858" s="11">
        <f>IF(OR(B858="",G858=0),"",ROUND(I858/H858,2))</f>
      </c>
      <c r="K858" s="9">
        <f>IF(B858="","",IF(COUNTIF($B$2:B858,B858)=1,MAX($K$1:K857)+1,""))</f>
      </c>
    </row>
    <row r="859">
      <c r="G859" s="9">
        <f>IF(B859="","",D859+E859)</f>
      </c>
      <c r="H859" s="10">
        <f>IF(B859="","",ROUND(G859/60,2))</f>
      </c>
      <c r="I859" s="11">
        <f>IF(B859="","",C859-F859)</f>
      </c>
      <c r="J859" s="11">
        <f>IF(OR(B859="",G859=0),"",ROUND(I859/H859,2))</f>
      </c>
      <c r="K859" s="9">
        <f>IF(B859="","",IF(COUNTIF($B$2:B859,B859)=1,MAX($K$1:K858)+1,""))</f>
      </c>
    </row>
    <row r="860">
      <c r="G860" s="9">
        <f>IF(B860="","",D860+E860)</f>
      </c>
      <c r="H860" s="10">
        <f>IF(B860="","",ROUND(G860/60,2))</f>
      </c>
      <c r="I860" s="11">
        <f>IF(B860="","",C860-F860)</f>
      </c>
      <c r="J860" s="11">
        <f>IF(OR(B860="",G860=0),"",ROUND(I860/H860,2))</f>
      </c>
      <c r="K860" s="9">
        <f>IF(B860="","",IF(COUNTIF($B$2:B860,B860)=1,MAX($K$1:K859)+1,""))</f>
      </c>
    </row>
    <row r="861">
      <c r="G861" s="9">
        <f>IF(B861="","",D861+E861)</f>
      </c>
      <c r="H861" s="10">
        <f>IF(B861="","",ROUND(G861/60,2))</f>
      </c>
      <c r="I861" s="11">
        <f>IF(B861="","",C861-F861)</f>
      </c>
      <c r="J861" s="11">
        <f>IF(OR(B861="",G861=0),"",ROUND(I861/H861,2))</f>
      </c>
      <c r="K861" s="9">
        <f>IF(B861="","",IF(COUNTIF($B$2:B861,B861)=1,MAX($K$1:K860)+1,""))</f>
      </c>
    </row>
    <row r="862">
      <c r="G862" s="9">
        <f>IF(B862="","",D862+E862)</f>
      </c>
      <c r="H862" s="10">
        <f>IF(B862="","",ROUND(G862/60,2))</f>
      </c>
      <c r="I862" s="11">
        <f>IF(B862="","",C862-F862)</f>
      </c>
      <c r="J862" s="11">
        <f>IF(OR(B862="",G862=0),"",ROUND(I862/H862,2))</f>
      </c>
      <c r="K862" s="9">
        <f>IF(B862="","",IF(COUNTIF($B$2:B862,B862)=1,MAX($K$1:K861)+1,""))</f>
      </c>
    </row>
    <row r="863">
      <c r="G863" s="9">
        <f>IF(B863="","",D863+E863)</f>
      </c>
      <c r="H863" s="10">
        <f>IF(B863="","",ROUND(G863/60,2))</f>
      </c>
      <c r="I863" s="11">
        <f>IF(B863="","",C863-F863)</f>
      </c>
      <c r="J863" s="11">
        <f>IF(OR(B863="",G863=0),"",ROUND(I863/H863,2))</f>
      </c>
      <c r="K863" s="9">
        <f>IF(B863="","",IF(COUNTIF($B$2:B863,B863)=1,MAX($K$1:K862)+1,""))</f>
      </c>
    </row>
    <row r="864">
      <c r="G864" s="9">
        <f>IF(B864="","",D864+E864)</f>
      </c>
      <c r="H864" s="10">
        <f>IF(B864="","",ROUND(G864/60,2))</f>
      </c>
      <c r="I864" s="11">
        <f>IF(B864="","",C864-F864)</f>
      </c>
      <c r="J864" s="11">
        <f>IF(OR(B864="",G864=0),"",ROUND(I864/H864,2))</f>
      </c>
      <c r="K864" s="9">
        <f>IF(B864="","",IF(COUNTIF($B$2:B864,B864)=1,MAX($K$1:K863)+1,""))</f>
      </c>
    </row>
    <row r="865">
      <c r="G865" s="9">
        <f>IF(B865="","",D865+E865)</f>
      </c>
      <c r="H865" s="10">
        <f>IF(B865="","",ROUND(G865/60,2))</f>
      </c>
      <c r="I865" s="11">
        <f>IF(B865="","",C865-F865)</f>
      </c>
      <c r="J865" s="11">
        <f>IF(OR(B865="",G865=0),"",ROUND(I865/H865,2))</f>
      </c>
      <c r="K865" s="9">
        <f>IF(B865="","",IF(COUNTIF($B$2:B865,B865)=1,MAX($K$1:K864)+1,""))</f>
      </c>
    </row>
    <row r="866">
      <c r="G866" s="9">
        <f>IF(B866="","",D866+E866)</f>
      </c>
      <c r="H866" s="10">
        <f>IF(B866="","",ROUND(G866/60,2))</f>
      </c>
      <c r="I866" s="11">
        <f>IF(B866="","",C866-F866)</f>
      </c>
      <c r="J866" s="11">
        <f>IF(OR(B866="",G866=0),"",ROUND(I866/H866,2))</f>
      </c>
      <c r="K866" s="9">
        <f>IF(B866="","",IF(COUNTIF($B$2:B866,B866)=1,MAX($K$1:K865)+1,""))</f>
      </c>
    </row>
    <row r="867">
      <c r="G867" s="9">
        <f>IF(B867="","",D867+E867)</f>
      </c>
      <c r="H867" s="10">
        <f>IF(B867="","",ROUND(G867/60,2))</f>
      </c>
      <c r="I867" s="11">
        <f>IF(B867="","",C867-F867)</f>
      </c>
      <c r="J867" s="11">
        <f>IF(OR(B867="",G867=0),"",ROUND(I867/H867,2))</f>
      </c>
      <c r="K867" s="9">
        <f>IF(B867="","",IF(COUNTIF($B$2:B867,B867)=1,MAX($K$1:K866)+1,""))</f>
      </c>
    </row>
    <row r="868">
      <c r="G868" s="9">
        <f>IF(B868="","",D868+E868)</f>
      </c>
      <c r="H868" s="10">
        <f>IF(B868="","",ROUND(G868/60,2))</f>
      </c>
      <c r="I868" s="11">
        <f>IF(B868="","",C868-F868)</f>
      </c>
      <c r="J868" s="11">
        <f>IF(OR(B868="",G868=0),"",ROUND(I868/H868,2))</f>
      </c>
      <c r="K868" s="9">
        <f>IF(B868="","",IF(COUNTIF($B$2:B868,B868)=1,MAX($K$1:K867)+1,""))</f>
      </c>
    </row>
    <row r="869">
      <c r="G869" s="9">
        <f>IF(B869="","",D869+E869)</f>
      </c>
      <c r="H869" s="10">
        <f>IF(B869="","",ROUND(G869/60,2))</f>
      </c>
      <c r="I869" s="11">
        <f>IF(B869="","",C869-F869)</f>
      </c>
      <c r="J869" s="11">
        <f>IF(OR(B869="",G869=0),"",ROUND(I869/H869,2))</f>
      </c>
      <c r="K869" s="9">
        <f>IF(B869="","",IF(COUNTIF($B$2:B869,B869)=1,MAX($K$1:K868)+1,""))</f>
      </c>
    </row>
    <row r="870">
      <c r="G870" s="9">
        <f>IF(B870="","",D870+E870)</f>
      </c>
      <c r="H870" s="10">
        <f>IF(B870="","",ROUND(G870/60,2))</f>
      </c>
      <c r="I870" s="11">
        <f>IF(B870="","",C870-F870)</f>
      </c>
      <c r="J870" s="11">
        <f>IF(OR(B870="",G870=0),"",ROUND(I870/H870,2))</f>
      </c>
      <c r="K870" s="9">
        <f>IF(B870="","",IF(COUNTIF($B$2:B870,B870)=1,MAX($K$1:K869)+1,""))</f>
      </c>
    </row>
    <row r="871">
      <c r="G871" s="9">
        <f>IF(B871="","",D871+E871)</f>
      </c>
      <c r="H871" s="10">
        <f>IF(B871="","",ROUND(G871/60,2))</f>
      </c>
      <c r="I871" s="11">
        <f>IF(B871="","",C871-F871)</f>
      </c>
      <c r="J871" s="11">
        <f>IF(OR(B871="",G871=0),"",ROUND(I871/H871,2))</f>
      </c>
      <c r="K871" s="9">
        <f>IF(B871="","",IF(COUNTIF($B$2:B871,B871)=1,MAX($K$1:K870)+1,""))</f>
      </c>
    </row>
    <row r="872">
      <c r="G872" s="9">
        <f>IF(B872="","",D872+E872)</f>
      </c>
      <c r="H872" s="10">
        <f>IF(B872="","",ROUND(G872/60,2))</f>
      </c>
      <c r="I872" s="11">
        <f>IF(B872="","",C872-F872)</f>
      </c>
      <c r="J872" s="11">
        <f>IF(OR(B872="",G872=0),"",ROUND(I872/H872,2))</f>
      </c>
      <c r="K872" s="9">
        <f>IF(B872="","",IF(COUNTIF($B$2:B872,B872)=1,MAX($K$1:K871)+1,""))</f>
      </c>
    </row>
    <row r="873">
      <c r="G873" s="9">
        <f>IF(B873="","",D873+E873)</f>
      </c>
      <c r="H873" s="10">
        <f>IF(B873="","",ROUND(G873/60,2))</f>
      </c>
      <c r="I873" s="11">
        <f>IF(B873="","",C873-F873)</f>
      </c>
      <c r="J873" s="11">
        <f>IF(OR(B873="",G873=0),"",ROUND(I873/H873,2))</f>
      </c>
      <c r="K873" s="9">
        <f>IF(B873="","",IF(COUNTIF($B$2:B873,B873)=1,MAX($K$1:K872)+1,""))</f>
      </c>
    </row>
    <row r="874">
      <c r="G874" s="9">
        <f>IF(B874="","",D874+E874)</f>
      </c>
      <c r="H874" s="10">
        <f>IF(B874="","",ROUND(G874/60,2))</f>
      </c>
      <c r="I874" s="11">
        <f>IF(B874="","",C874-F874)</f>
      </c>
      <c r="J874" s="11">
        <f>IF(OR(B874="",G874=0),"",ROUND(I874/H874,2))</f>
      </c>
      <c r="K874" s="9">
        <f>IF(B874="","",IF(COUNTIF($B$2:B874,B874)=1,MAX($K$1:K873)+1,""))</f>
      </c>
    </row>
    <row r="875">
      <c r="G875" s="9">
        <f>IF(B875="","",D875+E875)</f>
      </c>
      <c r="H875" s="10">
        <f>IF(B875="","",ROUND(G875/60,2))</f>
      </c>
      <c r="I875" s="11">
        <f>IF(B875="","",C875-F875)</f>
      </c>
      <c r="J875" s="11">
        <f>IF(OR(B875="",G875=0),"",ROUND(I875/H875,2))</f>
      </c>
      <c r="K875" s="9">
        <f>IF(B875="","",IF(COUNTIF($B$2:B875,B875)=1,MAX($K$1:K874)+1,""))</f>
      </c>
    </row>
    <row r="876">
      <c r="G876" s="9">
        <f>IF(B876="","",D876+E876)</f>
      </c>
      <c r="H876" s="10">
        <f>IF(B876="","",ROUND(G876/60,2))</f>
      </c>
      <c r="I876" s="11">
        <f>IF(B876="","",C876-F876)</f>
      </c>
      <c r="J876" s="11">
        <f>IF(OR(B876="",G876=0),"",ROUND(I876/H876,2))</f>
      </c>
      <c r="K876" s="9">
        <f>IF(B876="","",IF(COUNTIF($B$2:B876,B876)=1,MAX($K$1:K875)+1,""))</f>
      </c>
    </row>
    <row r="877">
      <c r="G877" s="9">
        <f>IF(B877="","",D877+E877)</f>
      </c>
      <c r="H877" s="10">
        <f>IF(B877="","",ROUND(G877/60,2))</f>
      </c>
      <c r="I877" s="11">
        <f>IF(B877="","",C877-F877)</f>
      </c>
      <c r="J877" s="11">
        <f>IF(OR(B877="",G877=0),"",ROUND(I877/H877,2))</f>
      </c>
      <c r="K877" s="9">
        <f>IF(B877="","",IF(COUNTIF($B$2:B877,B877)=1,MAX($K$1:K876)+1,""))</f>
      </c>
    </row>
    <row r="878">
      <c r="G878" s="9">
        <f>IF(B878="","",D878+E878)</f>
      </c>
      <c r="H878" s="10">
        <f>IF(B878="","",ROUND(G878/60,2))</f>
      </c>
      <c r="I878" s="11">
        <f>IF(B878="","",C878-F878)</f>
      </c>
      <c r="J878" s="11">
        <f>IF(OR(B878="",G878=0),"",ROUND(I878/H878,2))</f>
      </c>
      <c r="K878" s="9">
        <f>IF(B878="","",IF(COUNTIF($B$2:B878,B878)=1,MAX($K$1:K877)+1,""))</f>
      </c>
    </row>
    <row r="879">
      <c r="G879" s="9">
        <f>IF(B879="","",D879+E879)</f>
      </c>
      <c r="H879" s="10">
        <f>IF(B879="","",ROUND(G879/60,2))</f>
      </c>
      <c r="I879" s="11">
        <f>IF(B879="","",C879-F879)</f>
      </c>
      <c r="J879" s="11">
        <f>IF(OR(B879="",G879=0),"",ROUND(I879/H879,2))</f>
      </c>
      <c r="K879" s="9">
        <f>IF(B879="","",IF(COUNTIF($B$2:B879,B879)=1,MAX($K$1:K878)+1,""))</f>
      </c>
    </row>
    <row r="880">
      <c r="G880" s="9">
        <f>IF(B880="","",D880+E880)</f>
      </c>
      <c r="H880" s="10">
        <f>IF(B880="","",ROUND(G880/60,2))</f>
      </c>
      <c r="I880" s="11">
        <f>IF(B880="","",C880-F880)</f>
      </c>
      <c r="J880" s="11">
        <f>IF(OR(B880="",G880=0),"",ROUND(I880/H880,2))</f>
      </c>
      <c r="K880" s="9">
        <f>IF(B880="","",IF(COUNTIF($B$2:B880,B880)=1,MAX($K$1:K879)+1,""))</f>
      </c>
    </row>
    <row r="881">
      <c r="G881" s="9">
        <f>IF(B881="","",D881+E881)</f>
      </c>
      <c r="H881" s="10">
        <f>IF(B881="","",ROUND(G881/60,2))</f>
      </c>
      <c r="I881" s="11">
        <f>IF(B881="","",C881-F881)</f>
      </c>
      <c r="J881" s="11">
        <f>IF(OR(B881="",G881=0),"",ROUND(I881/H881,2))</f>
      </c>
      <c r="K881" s="9">
        <f>IF(B881="","",IF(COUNTIF($B$2:B881,B881)=1,MAX($K$1:K880)+1,""))</f>
      </c>
    </row>
    <row r="882">
      <c r="G882" s="9">
        <f>IF(B882="","",D882+E882)</f>
      </c>
      <c r="H882" s="10">
        <f>IF(B882="","",ROUND(G882/60,2))</f>
      </c>
      <c r="I882" s="11">
        <f>IF(B882="","",C882-F882)</f>
      </c>
      <c r="J882" s="11">
        <f>IF(OR(B882="",G882=0),"",ROUND(I882/H882,2))</f>
      </c>
      <c r="K882" s="9">
        <f>IF(B882="","",IF(COUNTIF($B$2:B882,B882)=1,MAX($K$1:K881)+1,""))</f>
      </c>
    </row>
    <row r="883">
      <c r="G883" s="9">
        <f>IF(B883="","",D883+E883)</f>
      </c>
      <c r="H883" s="10">
        <f>IF(B883="","",ROUND(G883/60,2))</f>
      </c>
      <c r="I883" s="11">
        <f>IF(B883="","",C883-F883)</f>
      </c>
      <c r="J883" s="11">
        <f>IF(OR(B883="",G883=0),"",ROUND(I883/H883,2))</f>
      </c>
      <c r="K883" s="9">
        <f>IF(B883="","",IF(COUNTIF($B$2:B883,B883)=1,MAX($K$1:K882)+1,""))</f>
      </c>
    </row>
    <row r="884">
      <c r="G884" s="9">
        <f>IF(B884="","",D884+E884)</f>
      </c>
      <c r="H884" s="10">
        <f>IF(B884="","",ROUND(G884/60,2))</f>
      </c>
      <c r="I884" s="11">
        <f>IF(B884="","",C884-F884)</f>
      </c>
      <c r="J884" s="11">
        <f>IF(OR(B884="",G884=0),"",ROUND(I884/H884,2))</f>
      </c>
      <c r="K884" s="9">
        <f>IF(B884="","",IF(COUNTIF($B$2:B884,B884)=1,MAX($K$1:K883)+1,""))</f>
      </c>
    </row>
    <row r="885">
      <c r="G885" s="9">
        <f>IF(B885="","",D885+E885)</f>
      </c>
      <c r="H885" s="10">
        <f>IF(B885="","",ROUND(G885/60,2))</f>
      </c>
      <c r="I885" s="11">
        <f>IF(B885="","",C885-F885)</f>
      </c>
      <c r="J885" s="11">
        <f>IF(OR(B885="",G885=0),"",ROUND(I885/H885,2))</f>
      </c>
      <c r="K885" s="9">
        <f>IF(B885="","",IF(COUNTIF($B$2:B885,B885)=1,MAX($K$1:K884)+1,""))</f>
      </c>
    </row>
    <row r="886">
      <c r="G886" s="9">
        <f>IF(B886="","",D886+E886)</f>
      </c>
      <c r="H886" s="10">
        <f>IF(B886="","",ROUND(G886/60,2))</f>
      </c>
      <c r="I886" s="11">
        <f>IF(B886="","",C886-F886)</f>
      </c>
      <c r="J886" s="11">
        <f>IF(OR(B886="",G886=0),"",ROUND(I886/H886,2))</f>
      </c>
      <c r="K886" s="9">
        <f>IF(B886="","",IF(COUNTIF($B$2:B886,B886)=1,MAX($K$1:K885)+1,""))</f>
      </c>
    </row>
    <row r="887">
      <c r="G887" s="9">
        <f>IF(B887="","",D887+E887)</f>
      </c>
      <c r="H887" s="10">
        <f>IF(B887="","",ROUND(G887/60,2))</f>
      </c>
      <c r="I887" s="11">
        <f>IF(B887="","",C887-F887)</f>
      </c>
      <c r="J887" s="11">
        <f>IF(OR(B887="",G887=0),"",ROUND(I887/H887,2))</f>
      </c>
      <c r="K887" s="9">
        <f>IF(B887="","",IF(COUNTIF($B$2:B887,B887)=1,MAX($K$1:K886)+1,""))</f>
      </c>
    </row>
    <row r="888">
      <c r="G888" s="9">
        <f>IF(B888="","",D888+E888)</f>
      </c>
      <c r="H888" s="10">
        <f>IF(B888="","",ROUND(G888/60,2))</f>
      </c>
      <c r="I888" s="11">
        <f>IF(B888="","",C888-F888)</f>
      </c>
      <c r="J888" s="11">
        <f>IF(OR(B888="",G888=0),"",ROUND(I888/H888,2))</f>
      </c>
      <c r="K888" s="9">
        <f>IF(B888="","",IF(COUNTIF($B$2:B888,B888)=1,MAX($K$1:K887)+1,""))</f>
      </c>
    </row>
    <row r="889">
      <c r="G889" s="9">
        <f>IF(B889="","",D889+E889)</f>
      </c>
      <c r="H889" s="10">
        <f>IF(B889="","",ROUND(G889/60,2))</f>
      </c>
      <c r="I889" s="11">
        <f>IF(B889="","",C889-F889)</f>
      </c>
      <c r="J889" s="11">
        <f>IF(OR(B889="",G889=0),"",ROUND(I889/H889,2))</f>
      </c>
      <c r="K889" s="9">
        <f>IF(B889="","",IF(COUNTIF($B$2:B889,B889)=1,MAX($K$1:K888)+1,""))</f>
      </c>
    </row>
    <row r="890">
      <c r="G890" s="9">
        <f>IF(B890="","",D890+E890)</f>
      </c>
      <c r="H890" s="10">
        <f>IF(B890="","",ROUND(G890/60,2))</f>
      </c>
      <c r="I890" s="11">
        <f>IF(B890="","",C890-F890)</f>
      </c>
      <c r="J890" s="11">
        <f>IF(OR(B890="",G890=0),"",ROUND(I890/H890,2))</f>
      </c>
      <c r="K890" s="9">
        <f>IF(B890="","",IF(COUNTIF($B$2:B890,B890)=1,MAX($K$1:K889)+1,""))</f>
      </c>
    </row>
    <row r="891">
      <c r="G891" s="9">
        <f>IF(B891="","",D891+E891)</f>
      </c>
      <c r="H891" s="10">
        <f>IF(B891="","",ROUND(G891/60,2))</f>
      </c>
      <c r="I891" s="11">
        <f>IF(B891="","",C891-F891)</f>
      </c>
      <c r="J891" s="11">
        <f>IF(OR(B891="",G891=0),"",ROUND(I891/H891,2))</f>
      </c>
      <c r="K891" s="9">
        <f>IF(B891="","",IF(COUNTIF($B$2:B891,B891)=1,MAX($K$1:K890)+1,""))</f>
      </c>
    </row>
    <row r="892">
      <c r="G892" s="9">
        <f>IF(B892="","",D892+E892)</f>
      </c>
      <c r="H892" s="10">
        <f>IF(B892="","",ROUND(G892/60,2))</f>
      </c>
      <c r="I892" s="11">
        <f>IF(B892="","",C892-F892)</f>
      </c>
      <c r="J892" s="11">
        <f>IF(OR(B892="",G892=0),"",ROUND(I892/H892,2))</f>
      </c>
      <c r="K892" s="9">
        <f>IF(B892="","",IF(COUNTIF($B$2:B892,B892)=1,MAX($K$1:K891)+1,""))</f>
      </c>
    </row>
    <row r="893">
      <c r="G893" s="9">
        <f>IF(B893="","",D893+E893)</f>
      </c>
      <c r="H893" s="10">
        <f>IF(B893="","",ROUND(G893/60,2))</f>
      </c>
      <c r="I893" s="11">
        <f>IF(B893="","",C893-F893)</f>
      </c>
      <c r="J893" s="11">
        <f>IF(OR(B893="",G893=0),"",ROUND(I893/H893,2))</f>
      </c>
      <c r="K893" s="9">
        <f>IF(B893="","",IF(COUNTIF($B$2:B893,B893)=1,MAX($K$1:K892)+1,""))</f>
      </c>
    </row>
    <row r="894">
      <c r="G894" s="9">
        <f>IF(B894="","",D894+E894)</f>
      </c>
      <c r="H894" s="10">
        <f>IF(B894="","",ROUND(G894/60,2))</f>
      </c>
      <c r="I894" s="11">
        <f>IF(B894="","",C894-F894)</f>
      </c>
      <c r="J894" s="11">
        <f>IF(OR(B894="",G894=0),"",ROUND(I894/H894,2))</f>
      </c>
      <c r="K894" s="9">
        <f>IF(B894="","",IF(COUNTIF($B$2:B894,B894)=1,MAX($K$1:K893)+1,""))</f>
      </c>
    </row>
    <row r="895">
      <c r="G895" s="9">
        <f>IF(B895="","",D895+E895)</f>
      </c>
      <c r="H895" s="10">
        <f>IF(B895="","",ROUND(G895/60,2))</f>
      </c>
      <c r="I895" s="11">
        <f>IF(B895="","",C895-F895)</f>
      </c>
      <c r="J895" s="11">
        <f>IF(OR(B895="",G895=0),"",ROUND(I895/H895,2))</f>
      </c>
      <c r="K895" s="9">
        <f>IF(B895="","",IF(COUNTIF($B$2:B895,B895)=1,MAX($K$1:K894)+1,""))</f>
      </c>
    </row>
    <row r="896">
      <c r="G896" s="9">
        <f>IF(B896="","",D896+E896)</f>
      </c>
      <c r="H896" s="10">
        <f>IF(B896="","",ROUND(G896/60,2))</f>
      </c>
      <c r="I896" s="11">
        <f>IF(B896="","",C896-F896)</f>
      </c>
      <c r="J896" s="11">
        <f>IF(OR(B896="",G896=0),"",ROUND(I896/H896,2))</f>
      </c>
      <c r="K896" s="9">
        <f>IF(B896="","",IF(COUNTIF($B$2:B896,B896)=1,MAX($K$1:K895)+1,""))</f>
      </c>
    </row>
    <row r="897">
      <c r="G897" s="9">
        <f>IF(B897="","",D897+E897)</f>
      </c>
      <c r="H897" s="10">
        <f>IF(B897="","",ROUND(G897/60,2))</f>
      </c>
      <c r="I897" s="11">
        <f>IF(B897="","",C897-F897)</f>
      </c>
      <c r="J897" s="11">
        <f>IF(OR(B897="",G897=0),"",ROUND(I897/H897,2))</f>
      </c>
      <c r="K897" s="9">
        <f>IF(B897="","",IF(COUNTIF($B$2:B897,B897)=1,MAX($K$1:K896)+1,""))</f>
      </c>
    </row>
    <row r="898">
      <c r="G898" s="9">
        <f>IF(B898="","",D898+E898)</f>
      </c>
      <c r="H898" s="10">
        <f>IF(B898="","",ROUND(G898/60,2))</f>
      </c>
      <c r="I898" s="11">
        <f>IF(B898="","",C898-F898)</f>
      </c>
      <c r="J898" s="11">
        <f>IF(OR(B898="",G898=0),"",ROUND(I898/H898,2))</f>
      </c>
      <c r="K898" s="9">
        <f>IF(B898="","",IF(COUNTIF($B$2:B898,B898)=1,MAX($K$1:K897)+1,""))</f>
      </c>
    </row>
    <row r="899">
      <c r="G899" s="9">
        <f>IF(B899="","",D899+E899)</f>
      </c>
      <c r="H899" s="10">
        <f>IF(B899="","",ROUND(G899/60,2))</f>
      </c>
      <c r="I899" s="11">
        <f>IF(B899="","",C899-F899)</f>
      </c>
      <c r="J899" s="11">
        <f>IF(OR(B899="",G899=0),"",ROUND(I899/H899,2))</f>
      </c>
      <c r="K899" s="9">
        <f>IF(B899="","",IF(COUNTIF($B$2:B899,B899)=1,MAX($K$1:K898)+1,""))</f>
      </c>
    </row>
    <row r="900">
      <c r="G900" s="9">
        <f>IF(B900="","",D900+E900)</f>
      </c>
      <c r="H900" s="10">
        <f>IF(B900="","",ROUND(G900/60,2))</f>
      </c>
      <c r="I900" s="11">
        <f>IF(B900="","",C900-F900)</f>
      </c>
      <c r="J900" s="11">
        <f>IF(OR(B900="",G900=0),"",ROUND(I900/H900,2))</f>
      </c>
      <c r="K900" s="9">
        <f>IF(B900="","",IF(COUNTIF($B$2:B900,B900)=1,MAX($K$1:K899)+1,""))</f>
      </c>
    </row>
    <row r="901">
      <c r="G901" s="9">
        <f>IF(B901="","",D901+E901)</f>
      </c>
      <c r="H901" s="10">
        <f>IF(B901="","",ROUND(G901/60,2))</f>
      </c>
      <c r="I901" s="11">
        <f>IF(B901="","",C901-F901)</f>
      </c>
      <c r="J901" s="11">
        <f>IF(OR(B901="",G901=0),"",ROUND(I901/H901,2))</f>
      </c>
      <c r="K901" s="9">
        <f>IF(B901="","",IF(COUNTIF($B$2:B901,B901)=1,MAX($K$1:K900)+1,""))</f>
      </c>
    </row>
    <row r="902">
      <c r="G902" s="9">
        <f>IF(B902="","",D902+E902)</f>
      </c>
      <c r="H902" s="10">
        <f>IF(B902="","",ROUND(G902/60,2))</f>
      </c>
      <c r="I902" s="11">
        <f>IF(B902="","",C902-F902)</f>
      </c>
      <c r="J902" s="11">
        <f>IF(OR(B902="",G902=0),"",ROUND(I902/H902,2))</f>
      </c>
      <c r="K902" s="9">
        <f>IF(B902="","",IF(COUNTIF($B$2:B902,B902)=1,MAX($K$1:K901)+1,""))</f>
      </c>
    </row>
    <row r="903">
      <c r="G903" s="9">
        <f>IF(B903="","",D903+E903)</f>
      </c>
      <c r="H903" s="10">
        <f>IF(B903="","",ROUND(G903/60,2))</f>
      </c>
      <c r="I903" s="11">
        <f>IF(B903="","",C903-F903)</f>
      </c>
      <c r="J903" s="11">
        <f>IF(OR(B903="",G903=0),"",ROUND(I903/H903,2))</f>
      </c>
      <c r="K903" s="9">
        <f>IF(B903="","",IF(COUNTIF($B$2:B903,B903)=1,MAX($K$1:K902)+1,""))</f>
      </c>
    </row>
    <row r="904">
      <c r="G904" s="9">
        <f>IF(B904="","",D904+E904)</f>
      </c>
      <c r="H904" s="10">
        <f>IF(B904="","",ROUND(G904/60,2))</f>
      </c>
      <c r="I904" s="11">
        <f>IF(B904="","",C904-F904)</f>
      </c>
      <c r="J904" s="11">
        <f>IF(OR(B904="",G904=0),"",ROUND(I904/H904,2))</f>
      </c>
      <c r="K904" s="9">
        <f>IF(B904="","",IF(COUNTIF($B$2:B904,B904)=1,MAX($K$1:K903)+1,""))</f>
      </c>
    </row>
    <row r="905">
      <c r="G905" s="9">
        <f>IF(B905="","",D905+E905)</f>
      </c>
      <c r="H905" s="10">
        <f>IF(B905="","",ROUND(G905/60,2))</f>
      </c>
      <c r="I905" s="11">
        <f>IF(B905="","",C905-F905)</f>
      </c>
      <c r="J905" s="11">
        <f>IF(OR(B905="",G905=0),"",ROUND(I905/H905,2))</f>
      </c>
      <c r="K905" s="9">
        <f>IF(B905="","",IF(COUNTIF($B$2:B905,B905)=1,MAX($K$1:K904)+1,""))</f>
      </c>
    </row>
    <row r="906">
      <c r="G906" s="9">
        <f>IF(B906="","",D906+E906)</f>
      </c>
      <c r="H906" s="10">
        <f>IF(B906="","",ROUND(G906/60,2))</f>
      </c>
      <c r="I906" s="11">
        <f>IF(B906="","",C906-F906)</f>
      </c>
      <c r="J906" s="11">
        <f>IF(OR(B906="",G906=0),"",ROUND(I906/H906,2))</f>
      </c>
      <c r="K906" s="9">
        <f>IF(B906="","",IF(COUNTIF($B$2:B906,B906)=1,MAX($K$1:K905)+1,""))</f>
      </c>
    </row>
    <row r="907">
      <c r="G907" s="9">
        <f>IF(B907="","",D907+E907)</f>
      </c>
      <c r="H907" s="10">
        <f>IF(B907="","",ROUND(G907/60,2))</f>
      </c>
      <c r="I907" s="11">
        <f>IF(B907="","",C907-F907)</f>
      </c>
      <c r="J907" s="11">
        <f>IF(OR(B907="",G907=0),"",ROUND(I907/H907,2))</f>
      </c>
      <c r="K907" s="9">
        <f>IF(B907="","",IF(COUNTIF($B$2:B907,B907)=1,MAX($K$1:K906)+1,""))</f>
      </c>
    </row>
    <row r="908">
      <c r="G908" s="9">
        <f>IF(B908="","",D908+E908)</f>
      </c>
      <c r="H908" s="10">
        <f>IF(B908="","",ROUND(G908/60,2))</f>
      </c>
      <c r="I908" s="11">
        <f>IF(B908="","",C908-F908)</f>
      </c>
      <c r="J908" s="11">
        <f>IF(OR(B908="",G908=0),"",ROUND(I908/H908,2))</f>
      </c>
      <c r="K908" s="9">
        <f>IF(B908="","",IF(COUNTIF($B$2:B908,B908)=1,MAX($K$1:K907)+1,""))</f>
      </c>
    </row>
    <row r="909">
      <c r="G909" s="9">
        <f>IF(B909="","",D909+E909)</f>
      </c>
      <c r="H909" s="10">
        <f>IF(B909="","",ROUND(G909/60,2))</f>
      </c>
      <c r="I909" s="11">
        <f>IF(B909="","",C909-F909)</f>
      </c>
      <c r="J909" s="11">
        <f>IF(OR(B909="",G909=0),"",ROUND(I909/H909,2))</f>
      </c>
      <c r="K909" s="9">
        <f>IF(B909="","",IF(COUNTIF($B$2:B909,B909)=1,MAX($K$1:K908)+1,""))</f>
      </c>
    </row>
    <row r="910">
      <c r="G910" s="9">
        <f>IF(B910="","",D910+E910)</f>
      </c>
      <c r="H910" s="10">
        <f>IF(B910="","",ROUND(G910/60,2))</f>
      </c>
      <c r="I910" s="11">
        <f>IF(B910="","",C910-F910)</f>
      </c>
      <c r="J910" s="11">
        <f>IF(OR(B910="",G910=0),"",ROUND(I910/H910,2))</f>
      </c>
      <c r="K910" s="9">
        <f>IF(B910="","",IF(COUNTIF($B$2:B910,B910)=1,MAX($K$1:K909)+1,""))</f>
      </c>
    </row>
    <row r="911">
      <c r="G911" s="9">
        <f>IF(B911="","",D911+E911)</f>
      </c>
      <c r="H911" s="10">
        <f>IF(B911="","",ROUND(G911/60,2))</f>
      </c>
      <c r="I911" s="11">
        <f>IF(B911="","",C911-F911)</f>
      </c>
      <c r="J911" s="11">
        <f>IF(OR(B911="",G911=0),"",ROUND(I911/H911,2))</f>
      </c>
      <c r="K911" s="9">
        <f>IF(B911="","",IF(COUNTIF($B$2:B911,B911)=1,MAX($K$1:K910)+1,""))</f>
      </c>
    </row>
    <row r="912">
      <c r="G912" s="9">
        <f>IF(B912="","",D912+E912)</f>
      </c>
      <c r="H912" s="10">
        <f>IF(B912="","",ROUND(G912/60,2))</f>
      </c>
      <c r="I912" s="11">
        <f>IF(B912="","",C912-F912)</f>
      </c>
      <c r="J912" s="11">
        <f>IF(OR(B912="",G912=0),"",ROUND(I912/H912,2))</f>
      </c>
      <c r="K912" s="9">
        <f>IF(B912="","",IF(COUNTIF($B$2:B912,B912)=1,MAX($K$1:K911)+1,""))</f>
      </c>
    </row>
    <row r="913">
      <c r="G913" s="9">
        <f>IF(B913="","",D913+E913)</f>
      </c>
      <c r="H913" s="10">
        <f>IF(B913="","",ROUND(G913/60,2))</f>
      </c>
      <c r="I913" s="11">
        <f>IF(B913="","",C913-F913)</f>
      </c>
      <c r="J913" s="11">
        <f>IF(OR(B913="",G913=0),"",ROUND(I913/H913,2))</f>
      </c>
      <c r="K913" s="9">
        <f>IF(B913="","",IF(COUNTIF($B$2:B913,B913)=1,MAX($K$1:K912)+1,""))</f>
      </c>
    </row>
    <row r="914">
      <c r="G914" s="9">
        <f>IF(B914="","",D914+E914)</f>
      </c>
      <c r="H914" s="10">
        <f>IF(B914="","",ROUND(G914/60,2))</f>
      </c>
      <c r="I914" s="11">
        <f>IF(B914="","",C914-F914)</f>
      </c>
      <c r="J914" s="11">
        <f>IF(OR(B914="",G914=0),"",ROUND(I914/H914,2))</f>
      </c>
      <c r="K914" s="9">
        <f>IF(B914="","",IF(COUNTIF($B$2:B914,B914)=1,MAX($K$1:K913)+1,""))</f>
      </c>
    </row>
    <row r="915">
      <c r="G915" s="9">
        <f>IF(B915="","",D915+E915)</f>
      </c>
      <c r="H915" s="10">
        <f>IF(B915="","",ROUND(G915/60,2))</f>
      </c>
      <c r="I915" s="11">
        <f>IF(B915="","",C915-F915)</f>
      </c>
      <c r="J915" s="11">
        <f>IF(OR(B915="",G915=0),"",ROUND(I915/H915,2))</f>
      </c>
      <c r="K915" s="9">
        <f>IF(B915="","",IF(COUNTIF($B$2:B915,B915)=1,MAX($K$1:K914)+1,""))</f>
      </c>
    </row>
    <row r="916">
      <c r="G916" s="9">
        <f>IF(B916="","",D916+E916)</f>
      </c>
      <c r="H916" s="10">
        <f>IF(B916="","",ROUND(G916/60,2))</f>
      </c>
      <c r="I916" s="11">
        <f>IF(B916="","",C916-F916)</f>
      </c>
      <c r="J916" s="11">
        <f>IF(OR(B916="",G916=0),"",ROUND(I916/H916,2))</f>
      </c>
      <c r="K916" s="9">
        <f>IF(B916="","",IF(COUNTIF($B$2:B916,B916)=1,MAX($K$1:K915)+1,""))</f>
      </c>
    </row>
    <row r="917">
      <c r="G917" s="9">
        <f>IF(B917="","",D917+E917)</f>
      </c>
      <c r="H917" s="10">
        <f>IF(B917="","",ROUND(G917/60,2))</f>
      </c>
      <c r="I917" s="11">
        <f>IF(B917="","",C917-F917)</f>
      </c>
      <c r="J917" s="11">
        <f>IF(OR(B917="",G917=0),"",ROUND(I917/H917,2))</f>
      </c>
      <c r="K917" s="9">
        <f>IF(B917="","",IF(COUNTIF($B$2:B917,B917)=1,MAX($K$1:K916)+1,""))</f>
      </c>
    </row>
    <row r="918">
      <c r="G918" s="9">
        <f>IF(B918="","",D918+E918)</f>
      </c>
      <c r="H918" s="10">
        <f>IF(B918="","",ROUND(G918/60,2))</f>
      </c>
      <c r="I918" s="11">
        <f>IF(B918="","",C918-F918)</f>
      </c>
      <c r="J918" s="11">
        <f>IF(OR(B918="",G918=0),"",ROUND(I918/H918,2))</f>
      </c>
      <c r="K918" s="9">
        <f>IF(B918="","",IF(COUNTIF($B$2:B918,B918)=1,MAX($K$1:K917)+1,""))</f>
      </c>
    </row>
    <row r="919">
      <c r="G919" s="9">
        <f>IF(B919="","",D919+E919)</f>
      </c>
      <c r="H919" s="10">
        <f>IF(B919="","",ROUND(G919/60,2))</f>
      </c>
      <c r="I919" s="11">
        <f>IF(B919="","",C919-F919)</f>
      </c>
      <c r="J919" s="11">
        <f>IF(OR(B919="",G919=0),"",ROUND(I919/H919,2))</f>
      </c>
      <c r="K919" s="9">
        <f>IF(B919="","",IF(COUNTIF($B$2:B919,B919)=1,MAX($K$1:K918)+1,""))</f>
      </c>
    </row>
    <row r="920">
      <c r="G920" s="9">
        <f>IF(B920="","",D920+E920)</f>
      </c>
      <c r="H920" s="10">
        <f>IF(B920="","",ROUND(G920/60,2))</f>
      </c>
      <c r="I920" s="11">
        <f>IF(B920="","",C920-F920)</f>
      </c>
      <c r="J920" s="11">
        <f>IF(OR(B920="",G920=0),"",ROUND(I920/H920,2))</f>
      </c>
      <c r="K920" s="9">
        <f>IF(B920="","",IF(COUNTIF($B$2:B920,B920)=1,MAX($K$1:K919)+1,""))</f>
      </c>
    </row>
    <row r="921">
      <c r="G921" s="9">
        <f>IF(B921="","",D921+E921)</f>
      </c>
      <c r="H921" s="10">
        <f>IF(B921="","",ROUND(G921/60,2))</f>
      </c>
      <c r="I921" s="11">
        <f>IF(B921="","",C921-F921)</f>
      </c>
      <c r="J921" s="11">
        <f>IF(OR(B921="",G921=0),"",ROUND(I921/H921,2))</f>
      </c>
      <c r="K921" s="9">
        <f>IF(B921="","",IF(COUNTIF($B$2:B921,B921)=1,MAX($K$1:K920)+1,""))</f>
      </c>
    </row>
    <row r="922">
      <c r="G922" s="9">
        <f>IF(B922="","",D922+E922)</f>
      </c>
      <c r="H922" s="10">
        <f>IF(B922="","",ROUND(G922/60,2))</f>
      </c>
      <c r="I922" s="11">
        <f>IF(B922="","",C922-F922)</f>
      </c>
      <c r="J922" s="11">
        <f>IF(OR(B922="",G922=0),"",ROUND(I922/H922,2))</f>
      </c>
      <c r="K922" s="9">
        <f>IF(B922="","",IF(COUNTIF($B$2:B922,B922)=1,MAX($K$1:K921)+1,""))</f>
      </c>
    </row>
    <row r="923">
      <c r="G923" s="9">
        <f>IF(B923="","",D923+E923)</f>
      </c>
      <c r="H923" s="10">
        <f>IF(B923="","",ROUND(G923/60,2))</f>
      </c>
      <c r="I923" s="11">
        <f>IF(B923="","",C923-F923)</f>
      </c>
      <c r="J923" s="11">
        <f>IF(OR(B923="",G923=0),"",ROUND(I923/H923,2))</f>
      </c>
      <c r="K923" s="9">
        <f>IF(B923="","",IF(COUNTIF($B$2:B923,B923)=1,MAX($K$1:K922)+1,""))</f>
      </c>
    </row>
    <row r="924">
      <c r="G924" s="9">
        <f>IF(B924="","",D924+E924)</f>
      </c>
      <c r="H924" s="10">
        <f>IF(B924="","",ROUND(G924/60,2))</f>
      </c>
      <c r="I924" s="11">
        <f>IF(B924="","",C924-F924)</f>
      </c>
      <c r="J924" s="11">
        <f>IF(OR(B924="",G924=0),"",ROUND(I924/H924,2))</f>
      </c>
      <c r="K924" s="9">
        <f>IF(B924="","",IF(COUNTIF($B$2:B924,B924)=1,MAX($K$1:K923)+1,""))</f>
      </c>
    </row>
    <row r="925">
      <c r="G925" s="9">
        <f>IF(B925="","",D925+E925)</f>
      </c>
      <c r="H925" s="10">
        <f>IF(B925="","",ROUND(G925/60,2))</f>
      </c>
      <c r="I925" s="11">
        <f>IF(B925="","",C925-F925)</f>
      </c>
      <c r="J925" s="11">
        <f>IF(OR(B925="",G925=0),"",ROUND(I925/H925,2))</f>
      </c>
      <c r="K925" s="9">
        <f>IF(B925="","",IF(COUNTIF($B$2:B925,B925)=1,MAX($K$1:K924)+1,""))</f>
      </c>
    </row>
    <row r="926">
      <c r="G926" s="9">
        <f>IF(B926="","",D926+E926)</f>
      </c>
      <c r="H926" s="10">
        <f>IF(B926="","",ROUND(G926/60,2))</f>
      </c>
      <c r="I926" s="11">
        <f>IF(B926="","",C926-F926)</f>
      </c>
      <c r="J926" s="11">
        <f>IF(OR(B926="",G926=0),"",ROUND(I926/H926,2))</f>
      </c>
      <c r="K926" s="9">
        <f>IF(B926="","",IF(COUNTIF($B$2:B926,B926)=1,MAX($K$1:K925)+1,""))</f>
      </c>
    </row>
    <row r="927">
      <c r="G927" s="9">
        <f>IF(B927="","",D927+E927)</f>
      </c>
      <c r="H927" s="10">
        <f>IF(B927="","",ROUND(G927/60,2))</f>
      </c>
      <c r="I927" s="11">
        <f>IF(B927="","",C927-F927)</f>
      </c>
      <c r="J927" s="11">
        <f>IF(OR(B927="",G927=0),"",ROUND(I927/H927,2))</f>
      </c>
      <c r="K927" s="9">
        <f>IF(B927="","",IF(COUNTIF($B$2:B927,B927)=1,MAX($K$1:K926)+1,""))</f>
      </c>
    </row>
    <row r="928">
      <c r="G928" s="9">
        <f>IF(B928="","",D928+E928)</f>
      </c>
      <c r="H928" s="10">
        <f>IF(B928="","",ROUND(G928/60,2))</f>
      </c>
      <c r="I928" s="11">
        <f>IF(B928="","",C928-F928)</f>
      </c>
      <c r="J928" s="11">
        <f>IF(OR(B928="",G928=0),"",ROUND(I928/H928,2))</f>
      </c>
      <c r="K928" s="9">
        <f>IF(B928="","",IF(COUNTIF($B$2:B928,B928)=1,MAX($K$1:K927)+1,""))</f>
      </c>
    </row>
    <row r="929">
      <c r="G929" s="9">
        <f>IF(B929="","",D929+E929)</f>
      </c>
      <c r="H929" s="10">
        <f>IF(B929="","",ROUND(G929/60,2))</f>
      </c>
      <c r="I929" s="11">
        <f>IF(B929="","",C929-F929)</f>
      </c>
      <c r="J929" s="11">
        <f>IF(OR(B929="",G929=0),"",ROUND(I929/H929,2))</f>
      </c>
      <c r="K929" s="9">
        <f>IF(B929="","",IF(COUNTIF($B$2:B929,B929)=1,MAX($K$1:K928)+1,""))</f>
      </c>
    </row>
    <row r="930">
      <c r="G930" s="9">
        <f>IF(B930="","",D930+E930)</f>
      </c>
      <c r="H930" s="10">
        <f>IF(B930="","",ROUND(G930/60,2))</f>
      </c>
      <c r="I930" s="11">
        <f>IF(B930="","",C930-F930)</f>
      </c>
      <c r="J930" s="11">
        <f>IF(OR(B930="",G930=0),"",ROUND(I930/H930,2))</f>
      </c>
      <c r="K930" s="9">
        <f>IF(B930="","",IF(COUNTIF($B$2:B930,B930)=1,MAX($K$1:K929)+1,""))</f>
      </c>
    </row>
    <row r="931">
      <c r="G931" s="9">
        <f>IF(B931="","",D931+E931)</f>
      </c>
      <c r="H931" s="10">
        <f>IF(B931="","",ROUND(G931/60,2))</f>
      </c>
      <c r="I931" s="11">
        <f>IF(B931="","",C931-F931)</f>
      </c>
      <c r="J931" s="11">
        <f>IF(OR(B931="",G931=0),"",ROUND(I931/H931,2))</f>
      </c>
      <c r="K931" s="9">
        <f>IF(B931="","",IF(COUNTIF($B$2:B931,B931)=1,MAX($K$1:K930)+1,""))</f>
      </c>
    </row>
    <row r="932">
      <c r="G932" s="9">
        <f>IF(B932="","",D932+E932)</f>
      </c>
      <c r="H932" s="10">
        <f>IF(B932="","",ROUND(G932/60,2))</f>
      </c>
      <c r="I932" s="11">
        <f>IF(B932="","",C932-F932)</f>
      </c>
      <c r="J932" s="11">
        <f>IF(OR(B932="",G932=0),"",ROUND(I932/H932,2))</f>
      </c>
      <c r="K932" s="9">
        <f>IF(B932="","",IF(COUNTIF($B$2:B932,B932)=1,MAX($K$1:K931)+1,""))</f>
      </c>
    </row>
    <row r="933">
      <c r="G933" s="9">
        <f>IF(B933="","",D933+E933)</f>
      </c>
      <c r="H933" s="10">
        <f>IF(B933="","",ROUND(G933/60,2))</f>
      </c>
      <c r="I933" s="11">
        <f>IF(B933="","",C933-F933)</f>
      </c>
      <c r="J933" s="11">
        <f>IF(OR(B933="",G933=0),"",ROUND(I933/H933,2))</f>
      </c>
      <c r="K933" s="9">
        <f>IF(B933="","",IF(COUNTIF($B$2:B933,B933)=1,MAX($K$1:K932)+1,""))</f>
      </c>
    </row>
    <row r="934">
      <c r="G934" s="9">
        <f>IF(B934="","",D934+E934)</f>
      </c>
      <c r="H934" s="10">
        <f>IF(B934="","",ROUND(G934/60,2))</f>
      </c>
      <c r="I934" s="11">
        <f>IF(B934="","",C934-F934)</f>
      </c>
      <c r="J934" s="11">
        <f>IF(OR(B934="",G934=0),"",ROUND(I934/H934,2))</f>
      </c>
      <c r="K934" s="9">
        <f>IF(B934="","",IF(COUNTIF($B$2:B934,B934)=1,MAX($K$1:K933)+1,""))</f>
      </c>
    </row>
    <row r="935">
      <c r="G935" s="9">
        <f>IF(B935="","",D935+E935)</f>
      </c>
      <c r="H935" s="10">
        <f>IF(B935="","",ROUND(G935/60,2))</f>
      </c>
      <c r="I935" s="11">
        <f>IF(B935="","",C935-F935)</f>
      </c>
      <c r="J935" s="11">
        <f>IF(OR(B935="",G935=0),"",ROUND(I935/H935,2))</f>
      </c>
      <c r="K935" s="9">
        <f>IF(B935="","",IF(COUNTIF($B$2:B935,B935)=1,MAX($K$1:K934)+1,""))</f>
      </c>
    </row>
    <row r="936">
      <c r="G936" s="9">
        <f>IF(B936="","",D936+E936)</f>
      </c>
      <c r="H936" s="10">
        <f>IF(B936="","",ROUND(G936/60,2))</f>
      </c>
      <c r="I936" s="11">
        <f>IF(B936="","",C936-F936)</f>
      </c>
      <c r="J936" s="11">
        <f>IF(OR(B936="",G936=0),"",ROUND(I936/H936,2))</f>
      </c>
      <c r="K936" s="9">
        <f>IF(B936="","",IF(COUNTIF($B$2:B936,B936)=1,MAX($K$1:K935)+1,""))</f>
      </c>
    </row>
    <row r="937">
      <c r="G937" s="9">
        <f>IF(B937="","",D937+E937)</f>
      </c>
      <c r="H937" s="10">
        <f>IF(B937="","",ROUND(G937/60,2))</f>
      </c>
      <c r="I937" s="11">
        <f>IF(B937="","",C937-F937)</f>
      </c>
      <c r="J937" s="11">
        <f>IF(OR(B937="",G937=0),"",ROUND(I937/H937,2))</f>
      </c>
      <c r="K937" s="9">
        <f>IF(B937="","",IF(COUNTIF($B$2:B937,B937)=1,MAX($K$1:K936)+1,""))</f>
      </c>
    </row>
    <row r="938">
      <c r="G938" s="9">
        <f>IF(B938="","",D938+E938)</f>
      </c>
      <c r="H938" s="10">
        <f>IF(B938="","",ROUND(G938/60,2))</f>
      </c>
      <c r="I938" s="11">
        <f>IF(B938="","",C938-F938)</f>
      </c>
      <c r="J938" s="11">
        <f>IF(OR(B938="",G938=0),"",ROUND(I938/H938,2))</f>
      </c>
      <c r="K938" s="9">
        <f>IF(B938="","",IF(COUNTIF($B$2:B938,B938)=1,MAX($K$1:K937)+1,""))</f>
      </c>
    </row>
    <row r="939">
      <c r="G939" s="9">
        <f>IF(B939="","",D939+E939)</f>
      </c>
      <c r="H939" s="10">
        <f>IF(B939="","",ROUND(G939/60,2))</f>
      </c>
      <c r="I939" s="11">
        <f>IF(B939="","",C939-F939)</f>
      </c>
      <c r="J939" s="11">
        <f>IF(OR(B939="",G939=0),"",ROUND(I939/H939,2))</f>
      </c>
      <c r="K939" s="9">
        <f>IF(B939="","",IF(COUNTIF($B$2:B939,B939)=1,MAX($K$1:K938)+1,""))</f>
      </c>
    </row>
    <row r="940">
      <c r="G940" s="9">
        <f>IF(B940="","",D940+E940)</f>
      </c>
      <c r="H940" s="10">
        <f>IF(B940="","",ROUND(G940/60,2))</f>
      </c>
      <c r="I940" s="11">
        <f>IF(B940="","",C940-F940)</f>
      </c>
      <c r="J940" s="11">
        <f>IF(OR(B940="",G940=0),"",ROUND(I940/H940,2))</f>
      </c>
      <c r="K940" s="9">
        <f>IF(B940="","",IF(COUNTIF($B$2:B940,B940)=1,MAX($K$1:K939)+1,""))</f>
      </c>
    </row>
    <row r="941">
      <c r="G941" s="9">
        <f>IF(B941="","",D941+E941)</f>
      </c>
      <c r="H941" s="10">
        <f>IF(B941="","",ROUND(G941/60,2))</f>
      </c>
      <c r="I941" s="11">
        <f>IF(B941="","",C941-F941)</f>
      </c>
      <c r="J941" s="11">
        <f>IF(OR(B941="",G941=0),"",ROUND(I941/H941,2))</f>
      </c>
      <c r="K941" s="9">
        <f>IF(B941="","",IF(COUNTIF($B$2:B941,B941)=1,MAX($K$1:K940)+1,""))</f>
      </c>
    </row>
    <row r="942">
      <c r="G942" s="9">
        <f>IF(B942="","",D942+E942)</f>
      </c>
      <c r="H942" s="10">
        <f>IF(B942="","",ROUND(G942/60,2))</f>
      </c>
      <c r="I942" s="11">
        <f>IF(B942="","",C942-F942)</f>
      </c>
      <c r="J942" s="11">
        <f>IF(OR(B942="",G942=0),"",ROUND(I942/H942,2))</f>
      </c>
      <c r="K942" s="9">
        <f>IF(B942="","",IF(COUNTIF($B$2:B942,B942)=1,MAX($K$1:K941)+1,""))</f>
      </c>
    </row>
    <row r="943">
      <c r="G943" s="9">
        <f>IF(B943="","",D943+E943)</f>
      </c>
      <c r="H943" s="10">
        <f>IF(B943="","",ROUND(G943/60,2))</f>
      </c>
      <c r="I943" s="11">
        <f>IF(B943="","",C943-F943)</f>
      </c>
      <c r="J943" s="11">
        <f>IF(OR(B943="",G943=0),"",ROUND(I943/H943,2))</f>
      </c>
      <c r="K943" s="9">
        <f>IF(B943="","",IF(COUNTIF($B$2:B943,B943)=1,MAX($K$1:K942)+1,""))</f>
      </c>
    </row>
    <row r="944">
      <c r="G944" s="9">
        <f>IF(B944="","",D944+E944)</f>
      </c>
      <c r="H944" s="10">
        <f>IF(B944="","",ROUND(G944/60,2))</f>
      </c>
      <c r="I944" s="11">
        <f>IF(B944="","",C944-F944)</f>
      </c>
      <c r="J944" s="11">
        <f>IF(OR(B944="",G944=0),"",ROUND(I944/H944,2))</f>
      </c>
      <c r="K944" s="9">
        <f>IF(B944="","",IF(COUNTIF($B$2:B944,B944)=1,MAX($K$1:K943)+1,""))</f>
      </c>
    </row>
    <row r="945">
      <c r="G945" s="9">
        <f>IF(B945="","",D945+E945)</f>
      </c>
      <c r="H945" s="10">
        <f>IF(B945="","",ROUND(G945/60,2))</f>
      </c>
      <c r="I945" s="11">
        <f>IF(B945="","",C945-F945)</f>
      </c>
      <c r="J945" s="11">
        <f>IF(OR(B945="",G945=0),"",ROUND(I945/H945,2))</f>
      </c>
      <c r="K945" s="9">
        <f>IF(B945="","",IF(COUNTIF($B$2:B945,B945)=1,MAX($K$1:K944)+1,""))</f>
      </c>
    </row>
    <row r="946">
      <c r="G946" s="9">
        <f>IF(B946="","",D946+E946)</f>
      </c>
      <c r="H946" s="10">
        <f>IF(B946="","",ROUND(G946/60,2))</f>
      </c>
      <c r="I946" s="11">
        <f>IF(B946="","",C946-F946)</f>
      </c>
      <c r="J946" s="11">
        <f>IF(OR(B946="",G946=0),"",ROUND(I946/H946,2))</f>
      </c>
      <c r="K946" s="9">
        <f>IF(B946="","",IF(COUNTIF($B$2:B946,B946)=1,MAX($K$1:K945)+1,""))</f>
      </c>
    </row>
    <row r="947">
      <c r="G947" s="9">
        <f>IF(B947="","",D947+E947)</f>
      </c>
      <c r="H947" s="10">
        <f>IF(B947="","",ROUND(G947/60,2))</f>
      </c>
      <c r="I947" s="11">
        <f>IF(B947="","",C947-F947)</f>
      </c>
      <c r="J947" s="11">
        <f>IF(OR(B947="",G947=0),"",ROUND(I947/H947,2))</f>
      </c>
      <c r="K947" s="9">
        <f>IF(B947="","",IF(COUNTIF($B$2:B947,B947)=1,MAX($K$1:K946)+1,""))</f>
      </c>
    </row>
    <row r="948">
      <c r="G948" s="9">
        <f>IF(B948="","",D948+E948)</f>
      </c>
      <c r="H948" s="10">
        <f>IF(B948="","",ROUND(G948/60,2))</f>
      </c>
      <c r="I948" s="11">
        <f>IF(B948="","",C948-F948)</f>
      </c>
      <c r="J948" s="11">
        <f>IF(OR(B948="",G948=0),"",ROUND(I948/H948,2))</f>
      </c>
      <c r="K948" s="9">
        <f>IF(B948="","",IF(COUNTIF($B$2:B948,B948)=1,MAX($K$1:K947)+1,""))</f>
      </c>
    </row>
    <row r="949">
      <c r="G949" s="9">
        <f>IF(B949="","",D949+E949)</f>
      </c>
      <c r="H949" s="10">
        <f>IF(B949="","",ROUND(G949/60,2))</f>
      </c>
      <c r="I949" s="11">
        <f>IF(B949="","",C949-F949)</f>
      </c>
      <c r="J949" s="11">
        <f>IF(OR(B949="",G949=0),"",ROUND(I949/H949,2))</f>
      </c>
      <c r="K949" s="9">
        <f>IF(B949="","",IF(COUNTIF($B$2:B949,B949)=1,MAX($K$1:K948)+1,""))</f>
      </c>
    </row>
    <row r="950">
      <c r="G950" s="9">
        <f>IF(B950="","",D950+E950)</f>
      </c>
      <c r="H950" s="10">
        <f>IF(B950="","",ROUND(G950/60,2))</f>
      </c>
      <c r="I950" s="11">
        <f>IF(B950="","",C950-F950)</f>
      </c>
      <c r="J950" s="11">
        <f>IF(OR(B950="",G950=0),"",ROUND(I950/H950,2))</f>
      </c>
      <c r="K950" s="9">
        <f>IF(B950="","",IF(COUNTIF($B$2:B950,B950)=1,MAX($K$1:K949)+1,""))</f>
      </c>
    </row>
    <row r="951">
      <c r="G951" s="9">
        <f>IF(B951="","",D951+E951)</f>
      </c>
      <c r="H951" s="10">
        <f>IF(B951="","",ROUND(G951/60,2))</f>
      </c>
      <c r="I951" s="11">
        <f>IF(B951="","",C951-F951)</f>
      </c>
      <c r="J951" s="11">
        <f>IF(OR(B951="",G951=0),"",ROUND(I951/H951,2))</f>
      </c>
      <c r="K951" s="9">
        <f>IF(B951="","",IF(COUNTIF($B$2:B951,B951)=1,MAX($K$1:K950)+1,""))</f>
      </c>
    </row>
    <row r="952">
      <c r="G952" s="9">
        <f>IF(B952="","",D952+E952)</f>
      </c>
      <c r="H952" s="10">
        <f>IF(B952="","",ROUND(G952/60,2))</f>
      </c>
      <c r="I952" s="11">
        <f>IF(B952="","",C952-F952)</f>
      </c>
      <c r="J952" s="11">
        <f>IF(OR(B952="",G952=0),"",ROUND(I952/H952,2))</f>
      </c>
      <c r="K952" s="9">
        <f>IF(B952="","",IF(COUNTIF($B$2:B952,B952)=1,MAX($K$1:K951)+1,""))</f>
      </c>
    </row>
    <row r="953">
      <c r="G953" s="9">
        <f>IF(B953="","",D953+E953)</f>
      </c>
      <c r="H953" s="10">
        <f>IF(B953="","",ROUND(G953/60,2))</f>
      </c>
      <c r="I953" s="11">
        <f>IF(B953="","",C953-F953)</f>
      </c>
      <c r="J953" s="11">
        <f>IF(OR(B953="",G953=0),"",ROUND(I953/H953,2))</f>
      </c>
      <c r="K953" s="9">
        <f>IF(B953="","",IF(COUNTIF($B$2:B953,B953)=1,MAX($K$1:K952)+1,""))</f>
      </c>
    </row>
    <row r="954">
      <c r="G954" s="9">
        <f>IF(B954="","",D954+E954)</f>
      </c>
      <c r="H954" s="10">
        <f>IF(B954="","",ROUND(G954/60,2))</f>
      </c>
      <c r="I954" s="11">
        <f>IF(B954="","",C954-F954)</f>
      </c>
      <c r="J954" s="11">
        <f>IF(OR(B954="",G954=0),"",ROUND(I954/H954,2))</f>
      </c>
      <c r="K954" s="9">
        <f>IF(B954="","",IF(COUNTIF($B$2:B954,B954)=1,MAX($K$1:K953)+1,""))</f>
      </c>
    </row>
    <row r="955">
      <c r="G955" s="9">
        <f>IF(B955="","",D955+E955)</f>
      </c>
      <c r="H955" s="10">
        <f>IF(B955="","",ROUND(G955/60,2))</f>
      </c>
      <c r="I955" s="11">
        <f>IF(B955="","",C955-F955)</f>
      </c>
      <c r="J955" s="11">
        <f>IF(OR(B955="",G955=0),"",ROUND(I955/H955,2))</f>
      </c>
      <c r="K955" s="9">
        <f>IF(B955="","",IF(COUNTIF($B$2:B955,B955)=1,MAX($K$1:K954)+1,""))</f>
      </c>
    </row>
    <row r="956">
      <c r="G956" s="9">
        <f>IF(B956="","",D956+E956)</f>
      </c>
      <c r="H956" s="10">
        <f>IF(B956="","",ROUND(G956/60,2))</f>
      </c>
      <c r="I956" s="11">
        <f>IF(B956="","",C956-F956)</f>
      </c>
      <c r="J956" s="11">
        <f>IF(OR(B956="",G956=0),"",ROUND(I956/H956,2))</f>
      </c>
      <c r="K956" s="9">
        <f>IF(B956="","",IF(COUNTIF($B$2:B956,B956)=1,MAX($K$1:K955)+1,""))</f>
      </c>
    </row>
    <row r="957">
      <c r="G957" s="9">
        <f>IF(B957="","",D957+E957)</f>
      </c>
      <c r="H957" s="10">
        <f>IF(B957="","",ROUND(G957/60,2))</f>
      </c>
      <c r="I957" s="11">
        <f>IF(B957="","",C957-F957)</f>
      </c>
      <c r="J957" s="11">
        <f>IF(OR(B957="",G957=0),"",ROUND(I957/H957,2))</f>
      </c>
      <c r="K957" s="9">
        <f>IF(B957="","",IF(COUNTIF($B$2:B957,B957)=1,MAX($K$1:K956)+1,""))</f>
      </c>
    </row>
    <row r="958">
      <c r="G958" s="9">
        <f>IF(B958="","",D958+E958)</f>
      </c>
      <c r="H958" s="10">
        <f>IF(B958="","",ROUND(G958/60,2))</f>
      </c>
      <c r="I958" s="11">
        <f>IF(B958="","",C958-F958)</f>
      </c>
      <c r="J958" s="11">
        <f>IF(OR(B958="",G958=0),"",ROUND(I958/H958,2))</f>
      </c>
      <c r="K958" s="9">
        <f>IF(B958="","",IF(COUNTIF($B$2:B958,B958)=1,MAX($K$1:K957)+1,""))</f>
      </c>
    </row>
    <row r="959">
      <c r="G959" s="9">
        <f>IF(B959="","",D959+E959)</f>
      </c>
      <c r="H959" s="10">
        <f>IF(B959="","",ROUND(G959/60,2))</f>
      </c>
      <c r="I959" s="11">
        <f>IF(B959="","",C959-F959)</f>
      </c>
      <c r="J959" s="11">
        <f>IF(OR(B959="",G959=0),"",ROUND(I959/H959,2))</f>
      </c>
      <c r="K959" s="9">
        <f>IF(B959="","",IF(COUNTIF($B$2:B959,B959)=1,MAX($K$1:K958)+1,""))</f>
      </c>
    </row>
    <row r="960">
      <c r="G960" s="9">
        <f>IF(B960="","",D960+E960)</f>
      </c>
      <c r="H960" s="10">
        <f>IF(B960="","",ROUND(G960/60,2))</f>
      </c>
      <c r="I960" s="11">
        <f>IF(B960="","",C960-F960)</f>
      </c>
      <c r="J960" s="11">
        <f>IF(OR(B960="",G960=0),"",ROUND(I960/H960,2))</f>
      </c>
      <c r="K960" s="9">
        <f>IF(B960="","",IF(COUNTIF($B$2:B960,B960)=1,MAX($K$1:K959)+1,""))</f>
      </c>
    </row>
    <row r="961">
      <c r="G961" s="9">
        <f>IF(B961="","",D961+E961)</f>
      </c>
      <c r="H961" s="10">
        <f>IF(B961="","",ROUND(G961/60,2))</f>
      </c>
      <c r="I961" s="11">
        <f>IF(B961="","",C961-F961)</f>
      </c>
      <c r="J961" s="11">
        <f>IF(OR(B961="",G961=0),"",ROUND(I961/H961,2))</f>
      </c>
      <c r="K961" s="9">
        <f>IF(B961="","",IF(COUNTIF($B$2:B961,B961)=1,MAX($K$1:K960)+1,""))</f>
      </c>
    </row>
    <row r="962">
      <c r="G962" s="9">
        <f>IF(B962="","",D962+E962)</f>
      </c>
      <c r="H962" s="10">
        <f>IF(B962="","",ROUND(G962/60,2))</f>
      </c>
      <c r="I962" s="11">
        <f>IF(B962="","",C962-F962)</f>
      </c>
      <c r="J962" s="11">
        <f>IF(OR(B962="",G962=0),"",ROUND(I962/H962,2))</f>
      </c>
      <c r="K962" s="9">
        <f>IF(B962="","",IF(COUNTIF($B$2:B962,B962)=1,MAX($K$1:K961)+1,""))</f>
      </c>
    </row>
    <row r="963">
      <c r="G963" s="9">
        <f>IF(B963="","",D963+E963)</f>
      </c>
      <c r="H963" s="10">
        <f>IF(B963="","",ROUND(G963/60,2))</f>
      </c>
      <c r="I963" s="11">
        <f>IF(B963="","",C963-F963)</f>
      </c>
      <c r="J963" s="11">
        <f>IF(OR(B963="",G963=0),"",ROUND(I963/H963,2))</f>
      </c>
      <c r="K963" s="9">
        <f>IF(B963="","",IF(COUNTIF($B$2:B963,B963)=1,MAX($K$1:K962)+1,""))</f>
      </c>
    </row>
    <row r="964">
      <c r="G964" s="9">
        <f>IF(B964="","",D964+E964)</f>
      </c>
      <c r="H964" s="10">
        <f>IF(B964="","",ROUND(G964/60,2))</f>
      </c>
      <c r="I964" s="11">
        <f>IF(B964="","",C964-F964)</f>
      </c>
      <c r="J964" s="11">
        <f>IF(OR(B964="",G964=0),"",ROUND(I964/H964,2))</f>
      </c>
      <c r="K964" s="9">
        <f>IF(B964="","",IF(COUNTIF($B$2:B964,B964)=1,MAX($K$1:K963)+1,""))</f>
      </c>
    </row>
    <row r="965">
      <c r="G965" s="9">
        <f>IF(B965="","",D965+E965)</f>
      </c>
      <c r="H965" s="10">
        <f>IF(B965="","",ROUND(G965/60,2))</f>
      </c>
      <c r="I965" s="11">
        <f>IF(B965="","",C965-F965)</f>
      </c>
      <c r="J965" s="11">
        <f>IF(OR(B965="",G965=0),"",ROUND(I965/H965,2))</f>
      </c>
      <c r="K965" s="9">
        <f>IF(B965="","",IF(COUNTIF($B$2:B965,B965)=1,MAX($K$1:K964)+1,""))</f>
      </c>
    </row>
    <row r="966">
      <c r="G966" s="9">
        <f>IF(B966="","",D966+E966)</f>
      </c>
      <c r="H966" s="10">
        <f>IF(B966="","",ROUND(G966/60,2))</f>
      </c>
      <c r="I966" s="11">
        <f>IF(B966="","",C966-F966)</f>
      </c>
      <c r="J966" s="11">
        <f>IF(OR(B966="",G966=0),"",ROUND(I966/H966,2))</f>
      </c>
      <c r="K966" s="9">
        <f>IF(B966="","",IF(COUNTIF($B$2:B966,B966)=1,MAX($K$1:K965)+1,""))</f>
      </c>
    </row>
    <row r="967">
      <c r="G967" s="9">
        <f>IF(B967="","",D967+E967)</f>
      </c>
      <c r="H967" s="10">
        <f>IF(B967="","",ROUND(G967/60,2))</f>
      </c>
      <c r="I967" s="11">
        <f>IF(B967="","",C967-F967)</f>
      </c>
      <c r="J967" s="11">
        <f>IF(OR(B967="",G967=0),"",ROUND(I967/H967,2))</f>
      </c>
      <c r="K967" s="9">
        <f>IF(B967="","",IF(COUNTIF($B$2:B967,B967)=1,MAX($K$1:K966)+1,""))</f>
      </c>
    </row>
    <row r="968">
      <c r="G968" s="9">
        <f>IF(B968="","",D968+E968)</f>
      </c>
      <c r="H968" s="10">
        <f>IF(B968="","",ROUND(G968/60,2))</f>
      </c>
      <c r="I968" s="11">
        <f>IF(B968="","",C968-F968)</f>
      </c>
      <c r="J968" s="11">
        <f>IF(OR(B968="",G968=0),"",ROUND(I968/H968,2))</f>
      </c>
      <c r="K968" s="9">
        <f>IF(B968="","",IF(COUNTIF($B$2:B968,B968)=1,MAX($K$1:K967)+1,""))</f>
      </c>
    </row>
    <row r="969">
      <c r="G969" s="9">
        <f>IF(B969="","",D969+E969)</f>
      </c>
      <c r="H969" s="10">
        <f>IF(B969="","",ROUND(G969/60,2))</f>
      </c>
      <c r="I969" s="11">
        <f>IF(B969="","",C969-F969)</f>
      </c>
      <c r="J969" s="11">
        <f>IF(OR(B969="",G969=0),"",ROUND(I969/H969,2))</f>
      </c>
      <c r="K969" s="9">
        <f>IF(B969="","",IF(COUNTIF($B$2:B969,B969)=1,MAX($K$1:K968)+1,""))</f>
      </c>
    </row>
    <row r="970">
      <c r="G970" s="9">
        <f>IF(B970="","",D970+E970)</f>
      </c>
      <c r="H970" s="10">
        <f>IF(B970="","",ROUND(G970/60,2))</f>
      </c>
      <c r="I970" s="11">
        <f>IF(B970="","",C970-F970)</f>
      </c>
      <c r="J970" s="11">
        <f>IF(OR(B970="",G970=0),"",ROUND(I970/H970,2))</f>
      </c>
      <c r="K970" s="9">
        <f>IF(B970="","",IF(COUNTIF($B$2:B970,B970)=1,MAX($K$1:K969)+1,""))</f>
      </c>
    </row>
    <row r="971">
      <c r="G971" s="9">
        <f>IF(B971="","",D971+E971)</f>
      </c>
      <c r="H971" s="10">
        <f>IF(B971="","",ROUND(G971/60,2))</f>
      </c>
      <c r="I971" s="11">
        <f>IF(B971="","",C971-F971)</f>
      </c>
      <c r="J971" s="11">
        <f>IF(OR(B971="",G971=0),"",ROUND(I971/H971,2))</f>
      </c>
      <c r="K971" s="9">
        <f>IF(B971="","",IF(COUNTIF($B$2:B971,B971)=1,MAX($K$1:K970)+1,""))</f>
      </c>
    </row>
    <row r="972">
      <c r="G972" s="9">
        <f>IF(B972="","",D972+E972)</f>
      </c>
      <c r="H972" s="10">
        <f>IF(B972="","",ROUND(G972/60,2))</f>
      </c>
      <c r="I972" s="11">
        <f>IF(B972="","",C972-F972)</f>
      </c>
      <c r="J972" s="11">
        <f>IF(OR(B972="",G972=0),"",ROUND(I972/H972,2))</f>
      </c>
      <c r="K972" s="9">
        <f>IF(B972="","",IF(COUNTIF($B$2:B972,B972)=1,MAX($K$1:K971)+1,""))</f>
      </c>
    </row>
    <row r="973">
      <c r="G973" s="9">
        <f>IF(B973="","",D973+E973)</f>
      </c>
      <c r="H973" s="10">
        <f>IF(B973="","",ROUND(G973/60,2))</f>
      </c>
      <c r="I973" s="11">
        <f>IF(B973="","",C973-F973)</f>
      </c>
      <c r="J973" s="11">
        <f>IF(OR(B973="",G973=0),"",ROUND(I973/H973,2))</f>
      </c>
      <c r="K973" s="9">
        <f>IF(B973="","",IF(COUNTIF($B$2:B973,B973)=1,MAX($K$1:K972)+1,""))</f>
      </c>
    </row>
    <row r="974">
      <c r="G974" s="9">
        <f>IF(B974="","",D974+E974)</f>
      </c>
      <c r="H974" s="10">
        <f>IF(B974="","",ROUND(G974/60,2))</f>
      </c>
      <c r="I974" s="11">
        <f>IF(B974="","",C974-F974)</f>
      </c>
      <c r="J974" s="11">
        <f>IF(OR(B974="",G974=0),"",ROUND(I974/H974,2))</f>
      </c>
      <c r="K974" s="9">
        <f>IF(B974="","",IF(COUNTIF($B$2:B974,B974)=1,MAX($K$1:K973)+1,""))</f>
      </c>
    </row>
    <row r="975">
      <c r="G975" s="9">
        <f>IF(B975="","",D975+E975)</f>
      </c>
      <c r="H975" s="10">
        <f>IF(B975="","",ROUND(G975/60,2))</f>
      </c>
      <c r="I975" s="11">
        <f>IF(B975="","",C975-F975)</f>
      </c>
      <c r="J975" s="11">
        <f>IF(OR(B975="",G975=0),"",ROUND(I975/H975,2))</f>
      </c>
      <c r="K975" s="9">
        <f>IF(B975="","",IF(COUNTIF($B$2:B975,B975)=1,MAX($K$1:K974)+1,""))</f>
      </c>
    </row>
    <row r="976">
      <c r="G976" s="9">
        <f>IF(B976="","",D976+E976)</f>
      </c>
      <c r="H976" s="10">
        <f>IF(B976="","",ROUND(G976/60,2))</f>
      </c>
      <c r="I976" s="11">
        <f>IF(B976="","",C976-F976)</f>
      </c>
      <c r="J976" s="11">
        <f>IF(OR(B976="",G976=0),"",ROUND(I976/H976,2))</f>
      </c>
      <c r="K976" s="9">
        <f>IF(B976="","",IF(COUNTIF($B$2:B976,B976)=1,MAX($K$1:K975)+1,""))</f>
      </c>
    </row>
    <row r="977">
      <c r="G977" s="9">
        <f>IF(B977="","",D977+E977)</f>
      </c>
      <c r="H977" s="10">
        <f>IF(B977="","",ROUND(G977/60,2))</f>
      </c>
      <c r="I977" s="11">
        <f>IF(B977="","",C977-F977)</f>
      </c>
      <c r="J977" s="11">
        <f>IF(OR(B977="",G977=0),"",ROUND(I977/H977,2))</f>
      </c>
      <c r="K977" s="9">
        <f>IF(B977="","",IF(COUNTIF($B$2:B977,B977)=1,MAX($K$1:K976)+1,""))</f>
      </c>
    </row>
    <row r="978">
      <c r="G978" s="9">
        <f>IF(B978="","",D978+E978)</f>
      </c>
      <c r="H978" s="10">
        <f>IF(B978="","",ROUND(G978/60,2))</f>
      </c>
      <c r="I978" s="11">
        <f>IF(B978="","",C978-F978)</f>
      </c>
      <c r="J978" s="11">
        <f>IF(OR(B978="",G978=0),"",ROUND(I978/H978,2))</f>
      </c>
      <c r="K978" s="9">
        <f>IF(B978="","",IF(COUNTIF($B$2:B978,B978)=1,MAX($K$1:K977)+1,""))</f>
      </c>
    </row>
    <row r="979">
      <c r="G979" s="9">
        <f>IF(B979="","",D979+E979)</f>
      </c>
      <c r="H979" s="10">
        <f>IF(B979="","",ROUND(G979/60,2))</f>
      </c>
      <c r="I979" s="11">
        <f>IF(B979="","",C979-F979)</f>
      </c>
      <c r="J979" s="11">
        <f>IF(OR(B979="",G979=0),"",ROUND(I979/H979,2))</f>
      </c>
      <c r="K979" s="9">
        <f>IF(B979="","",IF(COUNTIF($B$2:B979,B979)=1,MAX($K$1:K978)+1,""))</f>
      </c>
    </row>
    <row r="980">
      <c r="G980" s="9">
        <f>IF(B980="","",D980+E980)</f>
      </c>
      <c r="H980" s="10">
        <f>IF(B980="","",ROUND(G980/60,2))</f>
      </c>
      <c r="I980" s="11">
        <f>IF(B980="","",C980-F980)</f>
      </c>
      <c r="J980" s="11">
        <f>IF(OR(B980="",G980=0),"",ROUND(I980/H980,2))</f>
      </c>
      <c r="K980" s="9">
        <f>IF(B980="","",IF(COUNTIF($B$2:B980,B980)=1,MAX($K$1:K979)+1,""))</f>
      </c>
    </row>
    <row r="981">
      <c r="G981" s="9">
        <f>IF(B981="","",D981+E981)</f>
      </c>
      <c r="H981" s="10">
        <f>IF(B981="","",ROUND(G981/60,2))</f>
      </c>
      <c r="I981" s="11">
        <f>IF(B981="","",C981-F981)</f>
      </c>
      <c r="J981" s="11">
        <f>IF(OR(B981="",G981=0),"",ROUND(I981/H981,2))</f>
      </c>
      <c r="K981" s="9">
        <f>IF(B981="","",IF(COUNTIF($B$2:B981,B981)=1,MAX($K$1:K980)+1,""))</f>
      </c>
    </row>
    <row r="982">
      <c r="G982" s="9">
        <f>IF(B982="","",D982+E982)</f>
      </c>
      <c r="H982" s="10">
        <f>IF(B982="","",ROUND(G982/60,2))</f>
      </c>
      <c r="I982" s="11">
        <f>IF(B982="","",C982-F982)</f>
      </c>
      <c r="J982" s="11">
        <f>IF(OR(B982="",G982=0),"",ROUND(I982/H982,2))</f>
      </c>
      <c r="K982" s="9">
        <f>IF(B982="","",IF(COUNTIF($B$2:B982,B982)=1,MAX($K$1:K981)+1,""))</f>
      </c>
    </row>
    <row r="983">
      <c r="G983" s="9">
        <f>IF(B983="","",D983+E983)</f>
      </c>
      <c r="H983" s="10">
        <f>IF(B983="","",ROUND(G983/60,2))</f>
      </c>
      <c r="I983" s="11">
        <f>IF(B983="","",C983-F983)</f>
      </c>
      <c r="J983" s="11">
        <f>IF(OR(B983="",G983=0),"",ROUND(I983/H983,2))</f>
      </c>
      <c r="K983" s="9">
        <f>IF(B983="","",IF(COUNTIF($B$2:B983,B983)=1,MAX($K$1:K982)+1,""))</f>
      </c>
    </row>
    <row r="984">
      <c r="G984" s="9">
        <f>IF(B984="","",D984+E984)</f>
      </c>
      <c r="H984" s="10">
        <f>IF(B984="","",ROUND(G984/60,2))</f>
      </c>
      <c r="I984" s="11">
        <f>IF(B984="","",C984-F984)</f>
      </c>
      <c r="J984" s="11">
        <f>IF(OR(B984="",G984=0),"",ROUND(I984/H984,2))</f>
      </c>
      <c r="K984" s="9">
        <f>IF(B984="","",IF(COUNTIF($B$2:B984,B984)=1,MAX($K$1:K983)+1,""))</f>
      </c>
    </row>
    <row r="985">
      <c r="G985" s="9">
        <f>IF(B985="","",D985+E985)</f>
      </c>
      <c r="H985" s="10">
        <f>IF(B985="","",ROUND(G985/60,2))</f>
      </c>
      <c r="I985" s="11">
        <f>IF(B985="","",C985-F985)</f>
      </c>
      <c r="J985" s="11">
        <f>IF(OR(B985="",G985=0),"",ROUND(I985/H985,2))</f>
      </c>
      <c r="K985" s="9">
        <f>IF(B985="","",IF(COUNTIF($B$2:B985,B985)=1,MAX($K$1:K984)+1,""))</f>
      </c>
    </row>
    <row r="986">
      <c r="G986" s="9">
        <f>IF(B986="","",D986+E986)</f>
      </c>
      <c r="H986" s="10">
        <f>IF(B986="","",ROUND(G986/60,2))</f>
      </c>
      <c r="I986" s="11">
        <f>IF(B986="","",C986-F986)</f>
      </c>
      <c r="J986" s="11">
        <f>IF(OR(B986="",G986=0),"",ROUND(I986/H986,2))</f>
      </c>
      <c r="K986" s="9">
        <f>IF(B986="","",IF(COUNTIF($B$2:B986,B986)=1,MAX($K$1:K985)+1,""))</f>
      </c>
    </row>
    <row r="987">
      <c r="G987" s="9">
        <f>IF(B987="","",D987+E987)</f>
      </c>
      <c r="H987" s="10">
        <f>IF(B987="","",ROUND(G987/60,2))</f>
      </c>
      <c r="I987" s="11">
        <f>IF(B987="","",C987-F987)</f>
      </c>
      <c r="J987" s="11">
        <f>IF(OR(B987="",G987=0),"",ROUND(I987/H987,2))</f>
      </c>
      <c r="K987" s="9">
        <f>IF(B987="","",IF(COUNTIF($B$2:B987,B987)=1,MAX($K$1:K986)+1,""))</f>
      </c>
    </row>
    <row r="988">
      <c r="G988" s="9">
        <f>IF(B988="","",D988+E988)</f>
      </c>
      <c r="H988" s="10">
        <f>IF(B988="","",ROUND(G988/60,2))</f>
      </c>
      <c r="I988" s="11">
        <f>IF(B988="","",C988-F988)</f>
      </c>
      <c r="J988" s="11">
        <f>IF(OR(B988="",G988=0),"",ROUND(I988/H988,2))</f>
      </c>
      <c r="K988" s="9">
        <f>IF(B988="","",IF(COUNTIF($B$2:B988,B988)=1,MAX($K$1:K987)+1,""))</f>
      </c>
    </row>
    <row r="989">
      <c r="G989" s="9">
        <f>IF(B989="","",D989+E989)</f>
      </c>
      <c r="H989" s="10">
        <f>IF(B989="","",ROUND(G989/60,2))</f>
      </c>
      <c r="I989" s="11">
        <f>IF(B989="","",C989-F989)</f>
      </c>
      <c r="J989" s="11">
        <f>IF(OR(B989="",G989=0),"",ROUND(I989/H989,2))</f>
      </c>
      <c r="K989" s="9">
        <f>IF(B989="","",IF(COUNTIF($B$2:B989,B989)=1,MAX($K$1:K988)+1,""))</f>
      </c>
    </row>
    <row r="990">
      <c r="G990" s="9">
        <f>IF(B990="","",D990+E990)</f>
      </c>
      <c r="H990" s="10">
        <f>IF(B990="","",ROUND(G990/60,2))</f>
      </c>
      <c r="I990" s="11">
        <f>IF(B990="","",C990-F990)</f>
      </c>
      <c r="J990" s="11">
        <f>IF(OR(B990="",G990=0),"",ROUND(I990/H990,2))</f>
      </c>
      <c r="K990" s="9">
        <f>IF(B990="","",IF(COUNTIF($B$2:B990,B990)=1,MAX($K$1:K989)+1,""))</f>
      </c>
    </row>
    <row r="991">
      <c r="G991" s="9">
        <f>IF(B991="","",D991+E991)</f>
      </c>
      <c r="H991" s="10">
        <f>IF(B991="","",ROUND(G991/60,2))</f>
      </c>
      <c r="I991" s="11">
        <f>IF(B991="","",C991-F991)</f>
      </c>
      <c r="J991" s="11">
        <f>IF(OR(B991="",G991=0),"",ROUND(I991/H991,2))</f>
      </c>
      <c r="K991" s="9">
        <f>IF(B991="","",IF(COUNTIF($B$2:B991,B991)=1,MAX($K$1:K990)+1,""))</f>
      </c>
    </row>
    <row r="992">
      <c r="G992" s="9">
        <f>IF(B992="","",D992+E992)</f>
      </c>
      <c r="H992" s="10">
        <f>IF(B992="","",ROUND(G992/60,2))</f>
      </c>
      <c r="I992" s="11">
        <f>IF(B992="","",C992-F992)</f>
      </c>
      <c r="J992" s="11">
        <f>IF(OR(B992="",G992=0),"",ROUND(I992/H992,2))</f>
      </c>
      <c r="K992" s="9">
        <f>IF(B992="","",IF(COUNTIF($B$2:B992,B992)=1,MAX($K$1:K991)+1,""))</f>
      </c>
    </row>
    <row r="993">
      <c r="G993" s="9">
        <f>IF(B993="","",D993+E993)</f>
      </c>
      <c r="H993" s="10">
        <f>IF(B993="","",ROUND(G993/60,2))</f>
      </c>
      <c r="I993" s="11">
        <f>IF(B993="","",C993-F993)</f>
      </c>
      <c r="J993" s="11">
        <f>IF(OR(B993="",G993=0),"",ROUND(I993/H993,2))</f>
      </c>
      <c r="K993" s="9">
        <f>IF(B993="","",IF(COUNTIF($B$2:B993,B993)=1,MAX($K$1:K992)+1,""))</f>
      </c>
    </row>
    <row r="994">
      <c r="G994" s="9">
        <f>IF(B994="","",D994+E994)</f>
      </c>
      <c r="H994" s="10">
        <f>IF(B994="","",ROUND(G994/60,2))</f>
      </c>
      <c r="I994" s="11">
        <f>IF(B994="","",C994-F994)</f>
      </c>
      <c r="J994" s="11">
        <f>IF(OR(B994="",G994=0),"",ROUND(I994/H994,2))</f>
      </c>
      <c r="K994" s="9">
        <f>IF(B994="","",IF(COUNTIF($B$2:B994,B994)=1,MAX($K$1:K993)+1,""))</f>
      </c>
    </row>
    <row r="995">
      <c r="G995" s="9">
        <f>IF(B995="","",D995+E995)</f>
      </c>
      <c r="H995" s="10">
        <f>IF(B995="","",ROUND(G995/60,2))</f>
      </c>
      <c r="I995" s="11">
        <f>IF(B995="","",C995-F995)</f>
      </c>
      <c r="J995" s="11">
        <f>IF(OR(B995="",G995=0),"",ROUND(I995/H995,2))</f>
      </c>
      <c r="K995" s="9">
        <f>IF(B995="","",IF(COUNTIF($B$2:B995,B995)=1,MAX($K$1:K994)+1,""))</f>
      </c>
    </row>
    <row r="996">
      <c r="G996" s="9">
        <f>IF(B996="","",D996+E996)</f>
      </c>
      <c r="H996" s="10">
        <f>IF(B996="","",ROUND(G996/60,2))</f>
      </c>
      <c r="I996" s="11">
        <f>IF(B996="","",C996-F996)</f>
      </c>
      <c r="J996" s="11">
        <f>IF(OR(B996="",G996=0),"",ROUND(I996/H996,2))</f>
      </c>
      <c r="K996" s="9">
        <f>IF(B996="","",IF(COUNTIF($B$2:B996,B996)=1,MAX($K$1:K995)+1,""))</f>
      </c>
    </row>
    <row r="997">
      <c r="G997" s="9">
        <f>IF(B997="","",D997+E997)</f>
      </c>
      <c r="H997" s="10">
        <f>IF(B997="","",ROUND(G997/60,2))</f>
      </c>
      <c r="I997" s="11">
        <f>IF(B997="","",C997-F997)</f>
      </c>
      <c r="J997" s="11">
        <f>IF(OR(B997="",G997=0),"",ROUND(I997/H997,2))</f>
      </c>
      <c r="K997" s="9">
        <f>IF(B997="","",IF(COUNTIF($B$2:B997,B997)=1,MAX($K$1:K996)+1,""))</f>
      </c>
    </row>
    <row r="998">
      <c r="G998" s="9">
        <f>IF(B998="","",D998+E998)</f>
      </c>
      <c r="H998" s="10">
        <f>IF(B998="","",ROUND(G998/60,2))</f>
      </c>
      <c r="I998" s="11">
        <f>IF(B998="","",C998-F998)</f>
      </c>
      <c r="J998" s="11">
        <f>IF(OR(B998="",G998=0),"",ROUND(I998/H998,2))</f>
      </c>
      <c r="K998" s="9">
        <f>IF(B998="","",IF(COUNTIF($B$2:B998,B998)=1,MAX($K$1:K997)+1,""))</f>
      </c>
    </row>
    <row r="999">
      <c r="G999" s="9">
        <f>IF(B999="","",D999+E999)</f>
      </c>
      <c r="H999" s="10">
        <f>IF(B999="","",ROUND(G999/60,2))</f>
      </c>
      <c r="I999" s="11">
        <f>IF(B999="","",C999-F999)</f>
      </c>
      <c r="J999" s="11">
        <f>IF(OR(B999="",G999=0),"",ROUND(I999/H999,2))</f>
      </c>
      <c r="K999" s="9">
        <f>IF(B999="","",IF(COUNTIF($B$2:B999,B999)=1,MAX($K$1:K998)+1,""))</f>
      </c>
    </row>
    <row r="1000">
      <c r="G1000" s="9">
        <f>IF(B1000="","",D1000+E1000)</f>
      </c>
      <c r="H1000" s="10">
        <f>IF(B1000="","",ROUND(G1000/60,2))</f>
      </c>
      <c r="I1000" s="11">
        <f>IF(B1000="","",C1000-F1000)</f>
      </c>
      <c r="J1000" s="11">
        <f>IF(OR(B1000="",G1000=0),"",ROUND(I1000/H1000,2))</f>
      </c>
      <c r="K1000" s="9">
        <f>IF(B1000="","",IF(COUNTIF($B$2:B1000,B1000)=1,MAX($K$1:K999)+1,""))</f>
      </c>
    </row>
  </sheetData>
  <autoFilter ref="A1:K1000"/>
  <conditionalFormatting sqref="J2:J1000">
    <cfRule type="cellIs" dxfId="1" priority="1" operator="lessThan">
      <formula>40</formula>
    </cfRule>
    <cfRule type="cellIs" dxfId="2" priority="2" operator="between">
      <formula>40</formula>
      <formula>55</formula>
    </cfRule>
    <cfRule type="cellIs" dxfId="0" priority="3" operator="greaterThan">
      <formula>55</formula>
    </cfRule>
  </conditionalFormatting>
</worksheet>
</file>

<file path=xl/worksheets/sheet3.xml><?xml version="1.0" encoding="utf-8"?>
<worksheet xmlns="http://schemas.openxmlformats.org/spreadsheetml/2006/main">
  <sheetViews>
    <sheetView workbookViewId="0"/>
  </sheetViews>
  <cols>
    <col min="1" max="1" width="20" customWidth="1"/>
    <col min="2" max="2" width="8" customWidth="1"/>
    <col min="3" max="3" width="13" customWidth="1"/>
    <col min="4" max="4" width="13" customWidth="1"/>
    <col min="5" max="5" width="11" customWidth="1"/>
    <col min="6" max="6" width="13" customWidth="1"/>
    <col min="7" max="7" width="12" customWidth="1"/>
    <col min="8" max="8" width="16" customWidth="1"/>
    <col min="9" max="9" width="28" customWidth="1"/>
    <col min="10" max="10" width="14" customWidth="1"/>
  </cols>
  <sheetData>
    <row r="1">
      <c r="A1" s="2" t="inlineStr">
        <is>
          <t xml:space="preserve">Client</t>
        </is>
      </c>
      <c r="B1" s="2" t="inlineStr">
        <is>
          <t xml:space="preserve">Jobs</t>
        </is>
      </c>
      <c r="C1" s="2" t="inlineStr">
        <is>
          <t xml:space="preserve">Revenue ($)</t>
        </is>
      </c>
      <c r="D1" s="2" t="inlineStr">
        <is>
          <t xml:space="preserve">Supplies ($)</t>
        </is>
      </c>
      <c r="E1" s="2" t="inlineStr">
        <is>
          <t xml:space="preserve">Total Min</t>
        </is>
      </c>
      <c r="F1" s="2" t="inlineStr">
        <is>
          <t xml:space="preserve">Net Rev ($)</t>
        </is>
      </c>
      <c r="G1" s="2" t="inlineStr">
        <is>
          <t xml:space="preserve">Total Hours</t>
        </is>
      </c>
      <c r="H1" s="2" t="inlineStr">
        <is>
          <t xml:space="preserve">True Hourly ($/hr)</t>
        </is>
      </c>
      <c r="I1" s="2" t="inlineStr">
        <is>
          <t xml:space="preserve">Verdict</t>
        </is>
      </c>
      <c r="J1" s="2" t="inlineStr">
        <is>
          <t xml:space="preserve">Rank (1 = best)</t>
        </is>
      </c>
    </row>
    <row r="2">
      <c r="A2" s="9">
        <f>IFERROR(INDEX('Job Log'!$B$2:$B$1000,MATCH(ROW()-1,'Job Log'!$K$2:$K$1000,0)),"")</f>
      </c>
      <c r="B2" s="9">
        <f>IF($A2="","",COUNTIF('Job Log'!$B$2:$B$1000,$A2))</f>
      </c>
      <c r="C2" s="11">
        <f>IF($A2="","",SUMIF('Job Log'!$B$2:$B$1000,$A2,'Job Log'!$C$2:$C$1000))</f>
      </c>
      <c r="D2" s="11">
        <f>IF($A2="","",SUMIF('Job Log'!$B$2:$B$1000,$A2,'Job Log'!$F$2:$F$1000))</f>
      </c>
      <c r="E2" s="9">
        <f>IF($A2="","",SUMIF('Job Log'!$B$2:$B$1000,$A2,'Job Log'!$G$2:$G$1000))</f>
      </c>
      <c r="F2" s="11">
        <f>IF($A2="","",SUMIF('Job Log'!$B$2:$B$1000,$A2,'Job Log'!$I$2:$I$1000))</f>
      </c>
      <c r="G2" s="10">
        <f>IF($A2="","",ROUND(E2/60,2))</f>
      </c>
      <c r="H2" s="11">
        <f>IF(OR($A2="",E2=0),"",ROUND(F2/G2,2))</f>
      </c>
      <c r="I2" s="9">
        <f>IF(H2="","",IF(H2&gt;=55,"KEEP — protect this slot",IF(H2&gt;=40,"RE-PRICE at next renewal","RE-PRICE OR RELEASE")))</f>
      </c>
      <c r="J2" s="9">
        <f>IF(H2="","",RANK(H2,$H$2:$H$51))</f>
      </c>
    </row>
    <row r="3">
      <c r="A3" s="9">
        <f>IFERROR(INDEX('Job Log'!$B$2:$B$1000,MATCH(ROW()-1,'Job Log'!$K$2:$K$1000,0)),"")</f>
      </c>
      <c r="B3" s="9">
        <f>IF($A3="","",COUNTIF('Job Log'!$B$2:$B$1000,$A3))</f>
      </c>
      <c r="C3" s="11">
        <f>IF($A3="","",SUMIF('Job Log'!$B$2:$B$1000,$A3,'Job Log'!$C$2:$C$1000))</f>
      </c>
      <c r="D3" s="11">
        <f>IF($A3="","",SUMIF('Job Log'!$B$2:$B$1000,$A3,'Job Log'!$F$2:$F$1000))</f>
      </c>
      <c r="E3" s="9">
        <f>IF($A3="","",SUMIF('Job Log'!$B$2:$B$1000,$A3,'Job Log'!$G$2:$G$1000))</f>
      </c>
      <c r="F3" s="11">
        <f>IF($A3="","",SUMIF('Job Log'!$B$2:$B$1000,$A3,'Job Log'!$I$2:$I$1000))</f>
      </c>
      <c r="G3" s="10">
        <f>IF($A3="","",ROUND(E3/60,2))</f>
      </c>
      <c r="H3" s="11">
        <f>IF(OR($A3="",E3=0),"",ROUND(F3/G3,2))</f>
      </c>
      <c r="I3" s="9">
        <f>IF(H3="","",IF(H3&gt;=55,"KEEP — protect this slot",IF(H3&gt;=40,"RE-PRICE at next renewal","RE-PRICE OR RELEASE")))</f>
      </c>
      <c r="J3" s="9">
        <f>IF(H3="","",RANK(H3,$H$2:$H$51))</f>
      </c>
    </row>
    <row r="4">
      <c r="A4" s="9">
        <f>IFERROR(INDEX('Job Log'!$B$2:$B$1000,MATCH(ROW()-1,'Job Log'!$K$2:$K$1000,0)),"")</f>
      </c>
      <c r="B4" s="9">
        <f>IF($A4="","",COUNTIF('Job Log'!$B$2:$B$1000,$A4))</f>
      </c>
      <c r="C4" s="11">
        <f>IF($A4="","",SUMIF('Job Log'!$B$2:$B$1000,$A4,'Job Log'!$C$2:$C$1000))</f>
      </c>
      <c r="D4" s="11">
        <f>IF($A4="","",SUMIF('Job Log'!$B$2:$B$1000,$A4,'Job Log'!$F$2:$F$1000))</f>
      </c>
      <c r="E4" s="9">
        <f>IF($A4="","",SUMIF('Job Log'!$B$2:$B$1000,$A4,'Job Log'!$G$2:$G$1000))</f>
      </c>
      <c r="F4" s="11">
        <f>IF($A4="","",SUMIF('Job Log'!$B$2:$B$1000,$A4,'Job Log'!$I$2:$I$1000))</f>
      </c>
      <c r="G4" s="10">
        <f>IF($A4="","",ROUND(E4/60,2))</f>
      </c>
      <c r="H4" s="11">
        <f>IF(OR($A4="",E4=0),"",ROUND(F4/G4,2))</f>
      </c>
      <c r="I4" s="9">
        <f>IF(H4="","",IF(H4&gt;=55,"KEEP — protect this slot",IF(H4&gt;=40,"RE-PRICE at next renewal","RE-PRICE OR RELEASE")))</f>
      </c>
      <c r="J4" s="9">
        <f>IF(H4="","",RANK(H4,$H$2:$H$51))</f>
      </c>
    </row>
    <row r="5">
      <c r="A5" s="9">
        <f>IFERROR(INDEX('Job Log'!$B$2:$B$1000,MATCH(ROW()-1,'Job Log'!$K$2:$K$1000,0)),"")</f>
      </c>
      <c r="B5" s="9">
        <f>IF($A5="","",COUNTIF('Job Log'!$B$2:$B$1000,$A5))</f>
      </c>
      <c r="C5" s="11">
        <f>IF($A5="","",SUMIF('Job Log'!$B$2:$B$1000,$A5,'Job Log'!$C$2:$C$1000))</f>
      </c>
      <c r="D5" s="11">
        <f>IF($A5="","",SUMIF('Job Log'!$B$2:$B$1000,$A5,'Job Log'!$F$2:$F$1000))</f>
      </c>
      <c r="E5" s="9">
        <f>IF($A5="","",SUMIF('Job Log'!$B$2:$B$1000,$A5,'Job Log'!$G$2:$G$1000))</f>
      </c>
      <c r="F5" s="11">
        <f>IF($A5="","",SUMIF('Job Log'!$B$2:$B$1000,$A5,'Job Log'!$I$2:$I$1000))</f>
      </c>
      <c r="G5" s="10">
        <f>IF($A5="","",ROUND(E5/60,2))</f>
      </c>
      <c r="H5" s="11">
        <f>IF(OR($A5="",E5=0),"",ROUND(F5/G5,2))</f>
      </c>
      <c r="I5" s="9">
        <f>IF(H5="","",IF(H5&gt;=55,"KEEP — protect this slot",IF(H5&gt;=40,"RE-PRICE at next renewal","RE-PRICE OR RELEASE")))</f>
      </c>
      <c r="J5" s="9">
        <f>IF(H5="","",RANK(H5,$H$2:$H$51))</f>
      </c>
    </row>
    <row r="6">
      <c r="A6" s="9">
        <f>IFERROR(INDEX('Job Log'!$B$2:$B$1000,MATCH(ROW()-1,'Job Log'!$K$2:$K$1000,0)),"")</f>
      </c>
      <c r="B6" s="9">
        <f>IF($A6="","",COUNTIF('Job Log'!$B$2:$B$1000,$A6))</f>
      </c>
      <c r="C6" s="11">
        <f>IF($A6="","",SUMIF('Job Log'!$B$2:$B$1000,$A6,'Job Log'!$C$2:$C$1000))</f>
      </c>
      <c r="D6" s="11">
        <f>IF($A6="","",SUMIF('Job Log'!$B$2:$B$1000,$A6,'Job Log'!$F$2:$F$1000))</f>
      </c>
      <c r="E6" s="9">
        <f>IF($A6="","",SUMIF('Job Log'!$B$2:$B$1000,$A6,'Job Log'!$G$2:$G$1000))</f>
      </c>
      <c r="F6" s="11">
        <f>IF($A6="","",SUMIF('Job Log'!$B$2:$B$1000,$A6,'Job Log'!$I$2:$I$1000))</f>
      </c>
      <c r="G6" s="10">
        <f>IF($A6="","",ROUND(E6/60,2))</f>
      </c>
      <c r="H6" s="11">
        <f>IF(OR($A6="",E6=0),"",ROUND(F6/G6,2))</f>
      </c>
      <c r="I6" s="9">
        <f>IF(H6="","",IF(H6&gt;=55,"KEEP — protect this slot",IF(H6&gt;=40,"RE-PRICE at next renewal","RE-PRICE OR RELEASE")))</f>
      </c>
      <c r="J6" s="9">
        <f>IF(H6="","",RANK(H6,$H$2:$H$51))</f>
      </c>
    </row>
    <row r="7">
      <c r="A7" s="9">
        <f>IFERROR(INDEX('Job Log'!$B$2:$B$1000,MATCH(ROW()-1,'Job Log'!$K$2:$K$1000,0)),"")</f>
      </c>
      <c r="B7" s="9">
        <f>IF($A7="","",COUNTIF('Job Log'!$B$2:$B$1000,$A7))</f>
      </c>
      <c r="C7" s="11">
        <f>IF($A7="","",SUMIF('Job Log'!$B$2:$B$1000,$A7,'Job Log'!$C$2:$C$1000))</f>
      </c>
      <c r="D7" s="11">
        <f>IF($A7="","",SUMIF('Job Log'!$B$2:$B$1000,$A7,'Job Log'!$F$2:$F$1000))</f>
      </c>
      <c r="E7" s="9">
        <f>IF($A7="","",SUMIF('Job Log'!$B$2:$B$1000,$A7,'Job Log'!$G$2:$G$1000))</f>
      </c>
      <c r="F7" s="11">
        <f>IF($A7="","",SUMIF('Job Log'!$B$2:$B$1000,$A7,'Job Log'!$I$2:$I$1000))</f>
      </c>
      <c r="G7" s="10">
        <f>IF($A7="","",ROUND(E7/60,2))</f>
      </c>
      <c r="H7" s="11">
        <f>IF(OR($A7="",E7=0),"",ROUND(F7/G7,2))</f>
      </c>
      <c r="I7" s="9">
        <f>IF(H7="","",IF(H7&gt;=55,"KEEP — protect this slot",IF(H7&gt;=40,"RE-PRICE at next renewal","RE-PRICE OR RELEASE")))</f>
      </c>
      <c r="J7" s="9">
        <f>IF(H7="","",RANK(H7,$H$2:$H$51))</f>
      </c>
    </row>
    <row r="8">
      <c r="A8" s="9">
        <f>IFERROR(INDEX('Job Log'!$B$2:$B$1000,MATCH(ROW()-1,'Job Log'!$K$2:$K$1000,0)),"")</f>
      </c>
      <c r="B8" s="9">
        <f>IF($A8="","",COUNTIF('Job Log'!$B$2:$B$1000,$A8))</f>
      </c>
      <c r="C8" s="11">
        <f>IF($A8="","",SUMIF('Job Log'!$B$2:$B$1000,$A8,'Job Log'!$C$2:$C$1000))</f>
      </c>
      <c r="D8" s="11">
        <f>IF($A8="","",SUMIF('Job Log'!$B$2:$B$1000,$A8,'Job Log'!$F$2:$F$1000))</f>
      </c>
      <c r="E8" s="9">
        <f>IF($A8="","",SUMIF('Job Log'!$B$2:$B$1000,$A8,'Job Log'!$G$2:$G$1000))</f>
      </c>
      <c r="F8" s="11">
        <f>IF($A8="","",SUMIF('Job Log'!$B$2:$B$1000,$A8,'Job Log'!$I$2:$I$1000))</f>
      </c>
      <c r="G8" s="10">
        <f>IF($A8="","",ROUND(E8/60,2))</f>
      </c>
      <c r="H8" s="11">
        <f>IF(OR($A8="",E8=0),"",ROUND(F8/G8,2))</f>
      </c>
      <c r="I8" s="9">
        <f>IF(H8="","",IF(H8&gt;=55,"KEEP — protect this slot",IF(H8&gt;=40,"RE-PRICE at next renewal","RE-PRICE OR RELEASE")))</f>
      </c>
      <c r="J8" s="9">
        <f>IF(H8="","",RANK(H8,$H$2:$H$51))</f>
      </c>
    </row>
    <row r="9">
      <c r="A9" s="9">
        <f>IFERROR(INDEX('Job Log'!$B$2:$B$1000,MATCH(ROW()-1,'Job Log'!$K$2:$K$1000,0)),"")</f>
      </c>
      <c r="B9" s="9">
        <f>IF($A9="","",COUNTIF('Job Log'!$B$2:$B$1000,$A9))</f>
      </c>
      <c r="C9" s="11">
        <f>IF($A9="","",SUMIF('Job Log'!$B$2:$B$1000,$A9,'Job Log'!$C$2:$C$1000))</f>
      </c>
      <c r="D9" s="11">
        <f>IF($A9="","",SUMIF('Job Log'!$B$2:$B$1000,$A9,'Job Log'!$F$2:$F$1000))</f>
      </c>
      <c r="E9" s="9">
        <f>IF($A9="","",SUMIF('Job Log'!$B$2:$B$1000,$A9,'Job Log'!$G$2:$G$1000))</f>
      </c>
      <c r="F9" s="11">
        <f>IF($A9="","",SUMIF('Job Log'!$B$2:$B$1000,$A9,'Job Log'!$I$2:$I$1000))</f>
      </c>
      <c r="G9" s="10">
        <f>IF($A9="","",ROUND(E9/60,2))</f>
      </c>
      <c r="H9" s="11">
        <f>IF(OR($A9="",E9=0),"",ROUND(F9/G9,2))</f>
      </c>
      <c r="I9" s="9">
        <f>IF(H9="","",IF(H9&gt;=55,"KEEP — protect this slot",IF(H9&gt;=40,"RE-PRICE at next renewal","RE-PRICE OR RELEASE")))</f>
      </c>
      <c r="J9" s="9">
        <f>IF(H9="","",RANK(H9,$H$2:$H$51))</f>
      </c>
    </row>
    <row r="10">
      <c r="A10" s="9">
        <f>IFERROR(INDEX('Job Log'!$B$2:$B$1000,MATCH(ROW()-1,'Job Log'!$K$2:$K$1000,0)),"")</f>
      </c>
      <c r="B10" s="9">
        <f>IF($A10="","",COUNTIF('Job Log'!$B$2:$B$1000,$A10))</f>
      </c>
      <c r="C10" s="11">
        <f>IF($A10="","",SUMIF('Job Log'!$B$2:$B$1000,$A10,'Job Log'!$C$2:$C$1000))</f>
      </c>
      <c r="D10" s="11">
        <f>IF($A10="","",SUMIF('Job Log'!$B$2:$B$1000,$A10,'Job Log'!$F$2:$F$1000))</f>
      </c>
      <c r="E10" s="9">
        <f>IF($A10="","",SUMIF('Job Log'!$B$2:$B$1000,$A10,'Job Log'!$G$2:$G$1000))</f>
      </c>
      <c r="F10" s="11">
        <f>IF($A10="","",SUMIF('Job Log'!$B$2:$B$1000,$A10,'Job Log'!$I$2:$I$1000))</f>
      </c>
      <c r="G10" s="10">
        <f>IF($A10="","",ROUND(E10/60,2))</f>
      </c>
      <c r="H10" s="11">
        <f>IF(OR($A10="",E10=0),"",ROUND(F10/G10,2))</f>
      </c>
      <c r="I10" s="9">
        <f>IF(H10="","",IF(H10&gt;=55,"KEEP — protect this slot",IF(H10&gt;=40,"RE-PRICE at next renewal","RE-PRICE OR RELEASE")))</f>
      </c>
      <c r="J10" s="9">
        <f>IF(H10="","",RANK(H10,$H$2:$H$51))</f>
      </c>
    </row>
    <row r="11">
      <c r="A11" s="9">
        <f>IFERROR(INDEX('Job Log'!$B$2:$B$1000,MATCH(ROW()-1,'Job Log'!$K$2:$K$1000,0)),"")</f>
      </c>
      <c r="B11" s="9">
        <f>IF($A11="","",COUNTIF('Job Log'!$B$2:$B$1000,$A11))</f>
      </c>
      <c r="C11" s="11">
        <f>IF($A11="","",SUMIF('Job Log'!$B$2:$B$1000,$A11,'Job Log'!$C$2:$C$1000))</f>
      </c>
      <c r="D11" s="11">
        <f>IF($A11="","",SUMIF('Job Log'!$B$2:$B$1000,$A11,'Job Log'!$F$2:$F$1000))</f>
      </c>
      <c r="E11" s="9">
        <f>IF($A11="","",SUMIF('Job Log'!$B$2:$B$1000,$A11,'Job Log'!$G$2:$G$1000))</f>
      </c>
      <c r="F11" s="11">
        <f>IF($A11="","",SUMIF('Job Log'!$B$2:$B$1000,$A11,'Job Log'!$I$2:$I$1000))</f>
      </c>
      <c r="G11" s="10">
        <f>IF($A11="","",ROUND(E11/60,2))</f>
      </c>
      <c r="H11" s="11">
        <f>IF(OR($A11="",E11=0),"",ROUND(F11/G11,2))</f>
      </c>
      <c r="I11" s="9">
        <f>IF(H11="","",IF(H11&gt;=55,"KEEP — protect this slot",IF(H11&gt;=40,"RE-PRICE at next renewal","RE-PRICE OR RELEASE")))</f>
      </c>
      <c r="J11" s="9">
        <f>IF(H11="","",RANK(H11,$H$2:$H$51))</f>
      </c>
    </row>
    <row r="12">
      <c r="A12" s="9">
        <f>IFERROR(INDEX('Job Log'!$B$2:$B$1000,MATCH(ROW()-1,'Job Log'!$K$2:$K$1000,0)),"")</f>
      </c>
      <c r="B12" s="9">
        <f>IF($A12="","",COUNTIF('Job Log'!$B$2:$B$1000,$A12))</f>
      </c>
      <c r="C12" s="11">
        <f>IF($A12="","",SUMIF('Job Log'!$B$2:$B$1000,$A12,'Job Log'!$C$2:$C$1000))</f>
      </c>
      <c r="D12" s="11">
        <f>IF($A12="","",SUMIF('Job Log'!$B$2:$B$1000,$A12,'Job Log'!$F$2:$F$1000))</f>
      </c>
      <c r="E12" s="9">
        <f>IF($A12="","",SUMIF('Job Log'!$B$2:$B$1000,$A12,'Job Log'!$G$2:$G$1000))</f>
      </c>
      <c r="F12" s="11">
        <f>IF($A12="","",SUMIF('Job Log'!$B$2:$B$1000,$A12,'Job Log'!$I$2:$I$1000))</f>
      </c>
      <c r="G12" s="10">
        <f>IF($A12="","",ROUND(E12/60,2))</f>
      </c>
      <c r="H12" s="11">
        <f>IF(OR($A12="",E12=0),"",ROUND(F12/G12,2))</f>
      </c>
      <c r="I12" s="9">
        <f>IF(H12="","",IF(H12&gt;=55,"KEEP — protect this slot",IF(H12&gt;=40,"RE-PRICE at next renewal","RE-PRICE OR RELEASE")))</f>
      </c>
      <c r="J12" s="9">
        <f>IF(H12="","",RANK(H12,$H$2:$H$51))</f>
      </c>
    </row>
    <row r="13">
      <c r="A13" s="9">
        <f>IFERROR(INDEX('Job Log'!$B$2:$B$1000,MATCH(ROW()-1,'Job Log'!$K$2:$K$1000,0)),"")</f>
      </c>
      <c r="B13" s="9">
        <f>IF($A13="","",COUNTIF('Job Log'!$B$2:$B$1000,$A13))</f>
      </c>
      <c r="C13" s="11">
        <f>IF($A13="","",SUMIF('Job Log'!$B$2:$B$1000,$A13,'Job Log'!$C$2:$C$1000))</f>
      </c>
      <c r="D13" s="11">
        <f>IF($A13="","",SUMIF('Job Log'!$B$2:$B$1000,$A13,'Job Log'!$F$2:$F$1000))</f>
      </c>
      <c r="E13" s="9">
        <f>IF($A13="","",SUMIF('Job Log'!$B$2:$B$1000,$A13,'Job Log'!$G$2:$G$1000))</f>
      </c>
      <c r="F13" s="11">
        <f>IF($A13="","",SUMIF('Job Log'!$B$2:$B$1000,$A13,'Job Log'!$I$2:$I$1000))</f>
      </c>
      <c r="G13" s="10">
        <f>IF($A13="","",ROUND(E13/60,2))</f>
      </c>
      <c r="H13" s="11">
        <f>IF(OR($A13="",E13=0),"",ROUND(F13/G13,2))</f>
      </c>
      <c r="I13" s="9">
        <f>IF(H13="","",IF(H13&gt;=55,"KEEP — protect this slot",IF(H13&gt;=40,"RE-PRICE at next renewal","RE-PRICE OR RELEASE")))</f>
      </c>
      <c r="J13" s="9">
        <f>IF(H13="","",RANK(H13,$H$2:$H$51))</f>
      </c>
    </row>
    <row r="14">
      <c r="A14" s="9">
        <f>IFERROR(INDEX('Job Log'!$B$2:$B$1000,MATCH(ROW()-1,'Job Log'!$K$2:$K$1000,0)),"")</f>
      </c>
      <c r="B14" s="9">
        <f>IF($A14="","",COUNTIF('Job Log'!$B$2:$B$1000,$A14))</f>
      </c>
      <c r="C14" s="11">
        <f>IF($A14="","",SUMIF('Job Log'!$B$2:$B$1000,$A14,'Job Log'!$C$2:$C$1000))</f>
      </c>
      <c r="D14" s="11">
        <f>IF($A14="","",SUMIF('Job Log'!$B$2:$B$1000,$A14,'Job Log'!$F$2:$F$1000))</f>
      </c>
      <c r="E14" s="9">
        <f>IF($A14="","",SUMIF('Job Log'!$B$2:$B$1000,$A14,'Job Log'!$G$2:$G$1000))</f>
      </c>
      <c r="F14" s="11">
        <f>IF($A14="","",SUMIF('Job Log'!$B$2:$B$1000,$A14,'Job Log'!$I$2:$I$1000))</f>
      </c>
      <c r="G14" s="10">
        <f>IF($A14="","",ROUND(E14/60,2))</f>
      </c>
      <c r="H14" s="11">
        <f>IF(OR($A14="",E14=0),"",ROUND(F14/G14,2))</f>
      </c>
      <c r="I14" s="9">
        <f>IF(H14="","",IF(H14&gt;=55,"KEEP — protect this slot",IF(H14&gt;=40,"RE-PRICE at next renewal","RE-PRICE OR RELEASE")))</f>
      </c>
      <c r="J14" s="9">
        <f>IF(H14="","",RANK(H14,$H$2:$H$51))</f>
      </c>
    </row>
    <row r="15">
      <c r="A15" s="9">
        <f>IFERROR(INDEX('Job Log'!$B$2:$B$1000,MATCH(ROW()-1,'Job Log'!$K$2:$K$1000,0)),"")</f>
      </c>
      <c r="B15" s="9">
        <f>IF($A15="","",COUNTIF('Job Log'!$B$2:$B$1000,$A15))</f>
      </c>
      <c r="C15" s="11">
        <f>IF($A15="","",SUMIF('Job Log'!$B$2:$B$1000,$A15,'Job Log'!$C$2:$C$1000))</f>
      </c>
      <c r="D15" s="11">
        <f>IF($A15="","",SUMIF('Job Log'!$B$2:$B$1000,$A15,'Job Log'!$F$2:$F$1000))</f>
      </c>
      <c r="E15" s="9">
        <f>IF($A15="","",SUMIF('Job Log'!$B$2:$B$1000,$A15,'Job Log'!$G$2:$G$1000))</f>
      </c>
      <c r="F15" s="11">
        <f>IF($A15="","",SUMIF('Job Log'!$B$2:$B$1000,$A15,'Job Log'!$I$2:$I$1000))</f>
      </c>
      <c r="G15" s="10">
        <f>IF($A15="","",ROUND(E15/60,2))</f>
      </c>
      <c r="H15" s="11">
        <f>IF(OR($A15="",E15=0),"",ROUND(F15/G15,2))</f>
      </c>
      <c r="I15" s="9">
        <f>IF(H15="","",IF(H15&gt;=55,"KEEP — protect this slot",IF(H15&gt;=40,"RE-PRICE at next renewal","RE-PRICE OR RELEASE")))</f>
      </c>
      <c r="J15" s="9">
        <f>IF(H15="","",RANK(H15,$H$2:$H$51))</f>
      </c>
    </row>
    <row r="16">
      <c r="A16" s="9">
        <f>IFERROR(INDEX('Job Log'!$B$2:$B$1000,MATCH(ROW()-1,'Job Log'!$K$2:$K$1000,0)),"")</f>
      </c>
      <c r="B16" s="9">
        <f>IF($A16="","",COUNTIF('Job Log'!$B$2:$B$1000,$A16))</f>
      </c>
      <c r="C16" s="11">
        <f>IF($A16="","",SUMIF('Job Log'!$B$2:$B$1000,$A16,'Job Log'!$C$2:$C$1000))</f>
      </c>
      <c r="D16" s="11">
        <f>IF($A16="","",SUMIF('Job Log'!$B$2:$B$1000,$A16,'Job Log'!$F$2:$F$1000))</f>
      </c>
      <c r="E16" s="9">
        <f>IF($A16="","",SUMIF('Job Log'!$B$2:$B$1000,$A16,'Job Log'!$G$2:$G$1000))</f>
      </c>
      <c r="F16" s="11">
        <f>IF($A16="","",SUMIF('Job Log'!$B$2:$B$1000,$A16,'Job Log'!$I$2:$I$1000))</f>
      </c>
      <c r="G16" s="10">
        <f>IF($A16="","",ROUND(E16/60,2))</f>
      </c>
      <c r="H16" s="11">
        <f>IF(OR($A16="",E16=0),"",ROUND(F16/G16,2))</f>
      </c>
      <c r="I16" s="9">
        <f>IF(H16="","",IF(H16&gt;=55,"KEEP — protect this slot",IF(H16&gt;=40,"RE-PRICE at next renewal","RE-PRICE OR RELEASE")))</f>
      </c>
      <c r="J16" s="9">
        <f>IF(H16="","",RANK(H16,$H$2:$H$51))</f>
      </c>
    </row>
    <row r="17">
      <c r="A17" s="9">
        <f>IFERROR(INDEX('Job Log'!$B$2:$B$1000,MATCH(ROW()-1,'Job Log'!$K$2:$K$1000,0)),"")</f>
      </c>
      <c r="B17" s="9">
        <f>IF($A17="","",COUNTIF('Job Log'!$B$2:$B$1000,$A17))</f>
      </c>
      <c r="C17" s="11">
        <f>IF($A17="","",SUMIF('Job Log'!$B$2:$B$1000,$A17,'Job Log'!$C$2:$C$1000))</f>
      </c>
      <c r="D17" s="11">
        <f>IF($A17="","",SUMIF('Job Log'!$B$2:$B$1000,$A17,'Job Log'!$F$2:$F$1000))</f>
      </c>
      <c r="E17" s="9">
        <f>IF($A17="","",SUMIF('Job Log'!$B$2:$B$1000,$A17,'Job Log'!$G$2:$G$1000))</f>
      </c>
      <c r="F17" s="11">
        <f>IF($A17="","",SUMIF('Job Log'!$B$2:$B$1000,$A17,'Job Log'!$I$2:$I$1000))</f>
      </c>
      <c r="G17" s="10">
        <f>IF($A17="","",ROUND(E17/60,2))</f>
      </c>
      <c r="H17" s="11">
        <f>IF(OR($A17="",E17=0),"",ROUND(F17/G17,2))</f>
      </c>
      <c r="I17" s="9">
        <f>IF(H17="","",IF(H17&gt;=55,"KEEP — protect this slot",IF(H17&gt;=40,"RE-PRICE at next renewal","RE-PRICE OR RELEASE")))</f>
      </c>
      <c r="J17" s="9">
        <f>IF(H17="","",RANK(H17,$H$2:$H$51))</f>
      </c>
    </row>
    <row r="18">
      <c r="A18" s="9">
        <f>IFERROR(INDEX('Job Log'!$B$2:$B$1000,MATCH(ROW()-1,'Job Log'!$K$2:$K$1000,0)),"")</f>
      </c>
      <c r="B18" s="9">
        <f>IF($A18="","",COUNTIF('Job Log'!$B$2:$B$1000,$A18))</f>
      </c>
      <c r="C18" s="11">
        <f>IF($A18="","",SUMIF('Job Log'!$B$2:$B$1000,$A18,'Job Log'!$C$2:$C$1000))</f>
      </c>
      <c r="D18" s="11">
        <f>IF($A18="","",SUMIF('Job Log'!$B$2:$B$1000,$A18,'Job Log'!$F$2:$F$1000))</f>
      </c>
      <c r="E18" s="9">
        <f>IF($A18="","",SUMIF('Job Log'!$B$2:$B$1000,$A18,'Job Log'!$G$2:$G$1000))</f>
      </c>
      <c r="F18" s="11">
        <f>IF($A18="","",SUMIF('Job Log'!$B$2:$B$1000,$A18,'Job Log'!$I$2:$I$1000))</f>
      </c>
      <c r="G18" s="10">
        <f>IF($A18="","",ROUND(E18/60,2))</f>
      </c>
      <c r="H18" s="11">
        <f>IF(OR($A18="",E18=0),"",ROUND(F18/G18,2))</f>
      </c>
      <c r="I18" s="9">
        <f>IF(H18="","",IF(H18&gt;=55,"KEEP — protect this slot",IF(H18&gt;=40,"RE-PRICE at next renewal","RE-PRICE OR RELEASE")))</f>
      </c>
      <c r="J18" s="9">
        <f>IF(H18="","",RANK(H18,$H$2:$H$51))</f>
      </c>
    </row>
    <row r="19">
      <c r="A19" s="9">
        <f>IFERROR(INDEX('Job Log'!$B$2:$B$1000,MATCH(ROW()-1,'Job Log'!$K$2:$K$1000,0)),"")</f>
      </c>
      <c r="B19" s="9">
        <f>IF($A19="","",COUNTIF('Job Log'!$B$2:$B$1000,$A19))</f>
      </c>
      <c r="C19" s="11">
        <f>IF($A19="","",SUMIF('Job Log'!$B$2:$B$1000,$A19,'Job Log'!$C$2:$C$1000))</f>
      </c>
      <c r="D19" s="11">
        <f>IF($A19="","",SUMIF('Job Log'!$B$2:$B$1000,$A19,'Job Log'!$F$2:$F$1000))</f>
      </c>
      <c r="E19" s="9">
        <f>IF($A19="","",SUMIF('Job Log'!$B$2:$B$1000,$A19,'Job Log'!$G$2:$G$1000))</f>
      </c>
      <c r="F19" s="11">
        <f>IF($A19="","",SUMIF('Job Log'!$B$2:$B$1000,$A19,'Job Log'!$I$2:$I$1000))</f>
      </c>
      <c r="G19" s="10">
        <f>IF($A19="","",ROUND(E19/60,2))</f>
      </c>
      <c r="H19" s="11">
        <f>IF(OR($A19="",E19=0),"",ROUND(F19/G19,2))</f>
      </c>
      <c r="I19" s="9">
        <f>IF(H19="","",IF(H19&gt;=55,"KEEP — protect this slot",IF(H19&gt;=40,"RE-PRICE at next renewal","RE-PRICE OR RELEASE")))</f>
      </c>
      <c r="J19" s="9">
        <f>IF(H19="","",RANK(H19,$H$2:$H$51))</f>
      </c>
    </row>
    <row r="20">
      <c r="A20" s="9">
        <f>IFERROR(INDEX('Job Log'!$B$2:$B$1000,MATCH(ROW()-1,'Job Log'!$K$2:$K$1000,0)),"")</f>
      </c>
      <c r="B20" s="9">
        <f>IF($A20="","",COUNTIF('Job Log'!$B$2:$B$1000,$A20))</f>
      </c>
      <c r="C20" s="11">
        <f>IF($A20="","",SUMIF('Job Log'!$B$2:$B$1000,$A20,'Job Log'!$C$2:$C$1000))</f>
      </c>
      <c r="D20" s="11">
        <f>IF($A20="","",SUMIF('Job Log'!$B$2:$B$1000,$A20,'Job Log'!$F$2:$F$1000))</f>
      </c>
      <c r="E20" s="9">
        <f>IF($A20="","",SUMIF('Job Log'!$B$2:$B$1000,$A20,'Job Log'!$G$2:$G$1000))</f>
      </c>
      <c r="F20" s="11">
        <f>IF($A20="","",SUMIF('Job Log'!$B$2:$B$1000,$A20,'Job Log'!$I$2:$I$1000))</f>
      </c>
      <c r="G20" s="10">
        <f>IF($A20="","",ROUND(E20/60,2))</f>
      </c>
      <c r="H20" s="11">
        <f>IF(OR($A20="",E20=0),"",ROUND(F20/G20,2))</f>
      </c>
      <c r="I20" s="9">
        <f>IF(H20="","",IF(H20&gt;=55,"KEEP — protect this slot",IF(H20&gt;=40,"RE-PRICE at next renewal","RE-PRICE OR RELEASE")))</f>
      </c>
      <c r="J20" s="9">
        <f>IF(H20="","",RANK(H20,$H$2:$H$51))</f>
      </c>
    </row>
    <row r="21">
      <c r="A21" s="9">
        <f>IFERROR(INDEX('Job Log'!$B$2:$B$1000,MATCH(ROW()-1,'Job Log'!$K$2:$K$1000,0)),"")</f>
      </c>
      <c r="B21" s="9">
        <f>IF($A21="","",COUNTIF('Job Log'!$B$2:$B$1000,$A21))</f>
      </c>
      <c r="C21" s="11">
        <f>IF($A21="","",SUMIF('Job Log'!$B$2:$B$1000,$A21,'Job Log'!$C$2:$C$1000))</f>
      </c>
      <c r="D21" s="11">
        <f>IF($A21="","",SUMIF('Job Log'!$B$2:$B$1000,$A21,'Job Log'!$F$2:$F$1000))</f>
      </c>
      <c r="E21" s="9">
        <f>IF($A21="","",SUMIF('Job Log'!$B$2:$B$1000,$A21,'Job Log'!$G$2:$G$1000))</f>
      </c>
      <c r="F21" s="11">
        <f>IF($A21="","",SUMIF('Job Log'!$B$2:$B$1000,$A21,'Job Log'!$I$2:$I$1000))</f>
      </c>
      <c r="G21" s="10">
        <f>IF($A21="","",ROUND(E21/60,2))</f>
      </c>
      <c r="H21" s="11">
        <f>IF(OR($A21="",E21=0),"",ROUND(F21/G21,2))</f>
      </c>
      <c r="I21" s="9">
        <f>IF(H21="","",IF(H21&gt;=55,"KEEP — protect this slot",IF(H21&gt;=40,"RE-PRICE at next renewal","RE-PRICE OR RELEASE")))</f>
      </c>
      <c r="J21" s="9">
        <f>IF(H21="","",RANK(H21,$H$2:$H$51))</f>
      </c>
    </row>
    <row r="22">
      <c r="A22" s="9">
        <f>IFERROR(INDEX('Job Log'!$B$2:$B$1000,MATCH(ROW()-1,'Job Log'!$K$2:$K$1000,0)),"")</f>
      </c>
      <c r="B22" s="9">
        <f>IF($A22="","",COUNTIF('Job Log'!$B$2:$B$1000,$A22))</f>
      </c>
      <c r="C22" s="11">
        <f>IF($A22="","",SUMIF('Job Log'!$B$2:$B$1000,$A22,'Job Log'!$C$2:$C$1000))</f>
      </c>
      <c r="D22" s="11">
        <f>IF($A22="","",SUMIF('Job Log'!$B$2:$B$1000,$A22,'Job Log'!$F$2:$F$1000))</f>
      </c>
      <c r="E22" s="9">
        <f>IF($A22="","",SUMIF('Job Log'!$B$2:$B$1000,$A22,'Job Log'!$G$2:$G$1000))</f>
      </c>
      <c r="F22" s="11">
        <f>IF($A22="","",SUMIF('Job Log'!$B$2:$B$1000,$A22,'Job Log'!$I$2:$I$1000))</f>
      </c>
      <c r="G22" s="10">
        <f>IF($A22="","",ROUND(E22/60,2))</f>
      </c>
      <c r="H22" s="11">
        <f>IF(OR($A22="",E22=0),"",ROUND(F22/G22,2))</f>
      </c>
      <c r="I22" s="9">
        <f>IF(H22="","",IF(H22&gt;=55,"KEEP — protect this slot",IF(H22&gt;=40,"RE-PRICE at next renewal","RE-PRICE OR RELEASE")))</f>
      </c>
      <c r="J22" s="9">
        <f>IF(H22="","",RANK(H22,$H$2:$H$51))</f>
      </c>
    </row>
    <row r="23">
      <c r="A23" s="9">
        <f>IFERROR(INDEX('Job Log'!$B$2:$B$1000,MATCH(ROW()-1,'Job Log'!$K$2:$K$1000,0)),"")</f>
      </c>
      <c r="B23" s="9">
        <f>IF($A23="","",COUNTIF('Job Log'!$B$2:$B$1000,$A23))</f>
      </c>
      <c r="C23" s="11">
        <f>IF($A23="","",SUMIF('Job Log'!$B$2:$B$1000,$A23,'Job Log'!$C$2:$C$1000))</f>
      </c>
      <c r="D23" s="11">
        <f>IF($A23="","",SUMIF('Job Log'!$B$2:$B$1000,$A23,'Job Log'!$F$2:$F$1000))</f>
      </c>
      <c r="E23" s="9">
        <f>IF($A23="","",SUMIF('Job Log'!$B$2:$B$1000,$A23,'Job Log'!$G$2:$G$1000))</f>
      </c>
      <c r="F23" s="11">
        <f>IF($A23="","",SUMIF('Job Log'!$B$2:$B$1000,$A23,'Job Log'!$I$2:$I$1000))</f>
      </c>
      <c r="G23" s="10">
        <f>IF($A23="","",ROUND(E23/60,2))</f>
      </c>
      <c r="H23" s="11">
        <f>IF(OR($A23="",E23=0),"",ROUND(F23/G23,2))</f>
      </c>
      <c r="I23" s="9">
        <f>IF(H23="","",IF(H23&gt;=55,"KEEP — protect this slot",IF(H23&gt;=40,"RE-PRICE at next renewal","RE-PRICE OR RELEASE")))</f>
      </c>
      <c r="J23" s="9">
        <f>IF(H23="","",RANK(H23,$H$2:$H$51))</f>
      </c>
    </row>
    <row r="24">
      <c r="A24" s="9">
        <f>IFERROR(INDEX('Job Log'!$B$2:$B$1000,MATCH(ROW()-1,'Job Log'!$K$2:$K$1000,0)),"")</f>
      </c>
      <c r="B24" s="9">
        <f>IF($A24="","",COUNTIF('Job Log'!$B$2:$B$1000,$A24))</f>
      </c>
      <c r="C24" s="11">
        <f>IF($A24="","",SUMIF('Job Log'!$B$2:$B$1000,$A24,'Job Log'!$C$2:$C$1000))</f>
      </c>
      <c r="D24" s="11">
        <f>IF($A24="","",SUMIF('Job Log'!$B$2:$B$1000,$A24,'Job Log'!$F$2:$F$1000))</f>
      </c>
      <c r="E24" s="9">
        <f>IF($A24="","",SUMIF('Job Log'!$B$2:$B$1000,$A24,'Job Log'!$G$2:$G$1000))</f>
      </c>
      <c r="F24" s="11">
        <f>IF($A24="","",SUMIF('Job Log'!$B$2:$B$1000,$A24,'Job Log'!$I$2:$I$1000))</f>
      </c>
      <c r="G24" s="10">
        <f>IF($A24="","",ROUND(E24/60,2))</f>
      </c>
      <c r="H24" s="11">
        <f>IF(OR($A24="",E24=0),"",ROUND(F24/G24,2))</f>
      </c>
      <c r="I24" s="9">
        <f>IF(H24="","",IF(H24&gt;=55,"KEEP — protect this slot",IF(H24&gt;=40,"RE-PRICE at next renewal","RE-PRICE OR RELEASE")))</f>
      </c>
      <c r="J24" s="9">
        <f>IF(H24="","",RANK(H24,$H$2:$H$51))</f>
      </c>
    </row>
    <row r="25">
      <c r="A25" s="9">
        <f>IFERROR(INDEX('Job Log'!$B$2:$B$1000,MATCH(ROW()-1,'Job Log'!$K$2:$K$1000,0)),"")</f>
      </c>
      <c r="B25" s="9">
        <f>IF($A25="","",COUNTIF('Job Log'!$B$2:$B$1000,$A25))</f>
      </c>
      <c r="C25" s="11">
        <f>IF($A25="","",SUMIF('Job Log'!$B$2:$B$1000,$A25,'Job Log'!$C$2:$C$1000))</f>
      </c>
      <c r="D25" s="11">
        <f>IF($A25="","",SUMIF('Job Log'!$B$2:$B$1000,$A25,'Job Log'!$F$2:$F$1000))</f>
      </c>
      <c r="E25" s="9">
        <f>IF($A25="","",SUMIF('Job Log'!$B$2:$B$1000,$A25,'Job Log'!$G$2:$G$1000))</f>
      </c>
      <c r="F25" s="11">
        <f>IF($A25="","",SUMIF('Job Log'!$B$2:$B$1000,$A25,'Job Log'!$I$2:$I$1000))</f>
      </c>
      <c r="G25" s="10">
        <f>IF($A25="","",ROUND(E25/60,2))</f>
      </c>
      <c r="H25" s="11">
        <f>IF(OR($A25="",E25=0),"",ROUND(F25/G25,2))</f>
      </c>
      <c r="I25" s="9">
        <f>IF(H25="","",IF(H25&gt;=55,"KEEP — protect this slot",IF(H25&gt;=40,"RE-PRICE at next renewal","RE-PRICE OR RELEASE")))</f>
      </c>
      <c r="J25" s="9">
        <f>IF(H25="","",RANK(H25,$H$2:$H$51))</f>
      </c>
    </row>
    <row r="26">
      <c r="A26" s="9">
        <f>IFERROR(INDEX('Job Log'!$B$2:$B$1000,MATCH(ROW()-1,'Job Log'!$K$2:$K$1000,0)),"")</f>
      </c>
      <c r="B26" s="9">
        <f>IF($A26="","",COUNTIF('Job Log'!$B$2:$B$1000,$A26))</f>
      </c>
      <c r="C26" s="11">
        <f>IF($A26="","",SUMIF('Job Log'!$B$2:$B$1000,$A26,'Job Log'!$C$2:$C$1000))</f>
      </c>
      <c r="D26" s="11">
        <f>IF($A26="","",SUMIF('Job Log'!$B$2:$B$1000,$A26,'Job Log'!$F$2:$F$1000))</f>
      </c>
      <c r="E26" s="9">
        <f>IF($A26="","",SUMIF('Job Log'!$B$2:$B$1000,$A26,'Job Log'!$G$2:$G$1000))</f>
      </c>
      <c r="F26" s="11">
        <f>IF($A26="","",SUMIF('Job Log'!$B$2:$B$1000,$A26,'Job Log'!$I$2:$I$1000))</f>
      </c>
      <c r="G26" s="10">
        <f>IF($A26="","",ROUND(E26/60,2))</f>
      </c>
      <c r="H26" s="11">
        <f>IF(OR($A26="",E26=0),"",ROUND(F26/G26,2))</f>
      </c>
      <c r="I26" s="9">
        <f>IF(H26="","",IF(H26&gt;=55,"KEEP — protect this slot",IF(H26&gt;=40,"RE-PRICE at next renewal","RE-PRICE OR RELEASE")))</f>
      </c>
      <c r="J26" s="9">
        <f>IF(H26="","",RANK(H26,$H$2:$H$51))</f>
      </c>
    </row>
    <row r="27">
      <c r="A27" s="9">
        <f>IFERROR(INDEX('Job Log'!$B$2:$B$1000,MATCH(ROW()-1,'Job Log'!$K$2:$K$1000,0)),"")</f>
      </c>
      <c r="B27" s="9">
        <f>IF($A27="","",COUNTIF('Job Log'!$B$2:$B$1000,$A27))</f>
      </c>
      <c r="C27" s="11">
        <f>IF($A27="","",SUMIF('Job Log'!$B$2:$B$1000,$A27,'Job Log'!$C$2:$C$1000))</f>
      </c>
      <c r="D27" s="11">
        <f>IF($A27="","",SUMIF('Job Log'!$B$2:$B$1000,$A27,'Job Log'!$F$2:$F$1000))</f>
      </c>
      <c r="E27" s="9">
        <f>IF($A27="","",SUMIF('Job Log'!$B$2:$B$1000,$A27,'Job Log'!$G$2:$G$1000))</f>
      </c>
      <c r="F27" s="11">
        <f>IF($A27="","",SUMIF('Job Log'!$B$2:$B$1000,$A27,'Job Log'!$I$2:$I$1000))</f>
      </c>
      <c r="G27" s="10">
        <f>IF($A27="","",ROUND(E27/60,2))</f>
      </c>
      <c r="H27" s="11">
        <f>IF(OR($A27="",E27=0),"",ROUND(F27/G27,2))</f>
      </c>
      <c r="I27" s="9">
        <f>IF(H27="","",IF(H27&gt;=55,"KEEP — protect this slot",IF(H27&gt;=40,"RE-PRICE at next renewal","RE-PRICE OR RELEASE")))</f>
      </c>
      <c r="J27" s="9">
        <f>IF(H27="","",RANK(H27,$H$2:$H$51))</f>
      </c>
    </row>
    <row r="28">
      <c r="A28" s="9">
        <f>IFERROR(INDEX('Job Log'!$B$2:$B$1000,MATCH(ROW()-1,'Job Log'!$K$2:$K$1000,0)),"")</f>
      </c>
      <c r="B28" s="9">
        <f>IF($A28="","",COUNTIF('Job Log'!$B$2:$B$1000,$A28))</f>
      </c>
      <c r="C28" s="11">
        <f>IF($A28="","",SUMIF('Job Log'!$B$2:$B$1000,$A28,'Job Log'!$C$2:$C$1000))</f>
      </c>
      <c r="D28" s="11">
        <f>IF($A28="","",SUMIF('Job Log'!$B$2:$B$1000,$A28,'Job Log'!$F$2:$F$1000))</f>
      </c>
      <c r="E28" s="9">
        <f>IF($A28="","",SUMIF('Job Log'!$B$2:$B$1000,$A28,'Job Log'!$G$2:$G$1000))</f>
      </c>
      <c r="F28" s="11">
        <f>IF($A28="","",SUMIF('Job Log'!$B$2:$B$1000,$A28,'Job Log'!$I$2:$I$1000))</f>
      </c>
      <c r="G28" s="10">
        <f>IF($A28="","",ROUND(E28/60,2))</f>
      </c>
      <c r="H28" s="11">
        <f>IF(OR($A28="",E28=0),"",ROUND(F28/G28,2))</f>
      </c>
      <c r="I28" s="9">
        <f>IF(H28="","",IF(H28&gt;=55,"KEEP — protect this slot",IF(H28&gt;=40,"RE-PRICE at next renewal","RE-PRICE OR RELEASE")))</f>
      </c>
      <c r="J28" s="9">
        <f>IF(H28="","",RANK(H28,$H$2:$H$51))</f>
      </c>
    </row>
    <row r="29">
      <c r="A29" s="9">
        <f>IFERROR(INDEX('Job Log'!$B$2:$B$1000,MATCH(ROW()-1,'Job Log'!$K$2:$K$1000,0)),"")</f>
      </c>
      <c r="B29" s="9">
        <f>IF($A29="","",COUNTIF('Job Log'!$B$2:$B$1000,$A29))</f>
      </c>
      <c r="C29" s="11">
        <f>IF($A29="","",SUMIF('Job Log'!$B$2:$B$1000,$A29,'Job Log'!$C$2:$C$1000))</f>
      </c>
      <c r="D29" s="11">
        <f>IF($A29="","",SUMIF('Job Log'!$B$2:$B$1000,$A29,'Job Log'!$F$2:$F$1000))</f>
      </c>
      <c r="E29" s="9">
        <f>IF($A29="","",SUMIF('Job Log'!$B$2:$B$1000,$A29,'Job Log'!$G$2:$G$1000))</f>
      </c>
      <c r="F29" s="11">
        <f>IF($A29="","",SUMIF('Job Log'!$B$2:$B$1000,$A29,'Job Log'!$I$2:$I$1000))</f>
      </c>
      <c r="G29" s="10">
        <f>IF($A29="","",ROUND(E29/60,2))</f>
      </c>
      <c r="H29" s="11">
        <f>IF(OR($A29="",E29=0),"",ROUND(F29/G29,2))</f>
      </c>
      <c r="I29" s="9">
        <f>IF(H29="","",IF(H29&gt;=55,"KEEP — protect this slot",IF(H29&gt;=40,"RE-PRICE at next renewal","RE-PRICE OR RELEASE")))</f>
      </c>
      <c r="J29" s="9">
        <f>IF(H29="","",RANK(H29,$H$2:$H$51))</f>
      </c>
    </row>
    <row r="30">
      <c r="A30" s="9">
        <f>IFERROR(INDEX('Job Log'!$B$2:$B$1000,MATCH(ROW()-1,'Job Log'!$K$2:$K$1000,0)),"")</f>
      </c>
      <c r="B30" s="9">
        <f>IF($A30="","",COUNTIF('Job Log'!$B$2:$B$1000,$A30))</f>
      </c>
      <c r="C30" s="11">
        <f>IF($A30="","",SUMIF('Job Log'!$B$2:$B$1000,$A30,'Job Log'!$C$2:$C$1000))</f>
      </c>
      <c r="D30" s="11">
        <f>IF($A30="","",SUMIF('Job Log'!$B$2:$B$1000,$A30,'Job Log'!$F$2:$F$1000))</f>
      </c>
      <c r="E30" s="9">
        <f>IF($A30="","",SUMIF('Job Log'!$B$2:$B$1000,$A30,'Job Log'!$G$2:$G$1000))</f>
      </c>
      <c r="F30" s="11">
        <f>IF($A30="","",SUMIF('Job Log'!$B$2:$B$1000,$A30,'Job Log'!$I$2:$I$1000))</f>
      </c>
      <c r="G30" s="10">
        <f>IF($A30="","",ROUND(E30/60,2))</f>
      </c>
      <c r="H30" s="11">
        <f>IF(OR($A30="",E30=0),"",ROUND(F30/G30,2))</f>
      </c>
      <c r="I30" s="9">
        <f>IF(H30="","",IF(H30&gt;=55,"KEEP — protect this slot",IF(H30&gt;=40,"RE-PRICE at next renewal","RE-PRICE OR RELEASE")))</f>
      </c>
      <c r="J30" s="9">
        <f>IF(H30="","",RANK(H30,$H$2:$H$51))</f>
      </c>
    </row>
    <row r="31">
      <c r="A31" s="9">
        <f>IFERROR(INDEX('Job Log'!$B$2:$B$1000,MATCH(ROW()-1,'Job Log'!$K$2:$K$1000,0)),"")</f>
      </c>
      <c r="B31" s="9">
        <f>IF($A31="","",COUNTIF('Job Log'!$B$2:$B$1000,$A31))</f>
      </c>
      <c r="C31" s="11">
        <f>IF($A31="","",SUMIF('Job Log'!$B$2:$B$1000,$A31,'Job Log'!$C$2:$C$1000))</f>
      </c>
      <c r="D31" s="11">
        <f>IF($A31="","",SUMIF('Job Log'!$B$2:$B$1000,$A31,'Job Log'!$F$2:$F$1000))</f>
      </c>
      <c r="E31" s="9">
        <f>IF($A31="","",SUMIF('Job Log'!$B$2:$B$1000,$A31,'Job Log'!$G$2:$G$1000))</f>
      </c>
      <c r="F31" s="11">
        <f>IF($A31="","",SUMIF('Job Log'!$B$2:$B$1000,$A31,'Job Log'!$I$2:$I$1000))</f>
      </c>
      <c r="G31" s="10">
        <f>IF($A31="","",ROUND(E31/60,2))</f>
      </c>
      <c r="H31" s="11">
        <f>IF(OR($A31="",E31=0),"",ROUND(F31/G31,2))</f>
      </c>
      <c r="I31" s="9">
        <f>IF(H31="","",IF(H31&gt;=55,"KEEP — protect this slot",IF(H31&gt;=40,"RE-PRICE at next renewal","RE-PRICE OR RELEASE")))</f>
      </c>
      <c r="J31" s="9">
        <f>IF(H31="","",RANK(H31,$H$2:$H$51))</f>
      </c>
    </row>
    <row r="32">
      <c r="A32" s="9">
        <f>IFERROR(INDEX('Job Log'!$B$2:$B$1000,MATCH(ROW()-1,'Job Log'!$K$2:$K$1000,0)),"")</f>
      </c>
      <c r="B32" s="9">
        <f>IF($A32="","",COUNTIF('Job Log'!$B$2:$B$1000,$A32))</f>
      </c>
      <c r="C32" s="11">
        <f>IF($A32="","",SUMIF('Job Log'!$B$2:$B$1000,$A32,'Job Log'!$C$2:$C$1000))</f>
      </c>
      <c r="D32" s="11">
        <f>IF($A32="","",SUMIF('Job Log'!$B$2:$B$1000,$A32,'Job Log'!$F$2:$F$1000))</f>
      </c>
      <c r="E32" s="9">
        <f>IF($A32="","",SUMIF('Job Log'!$B$2:$B$1000,$A32,'Job Log'!$G$2:$G$1000))</f>
      </c>
      <c r="F32" s="11">
        <f>IF($A32="","",SUMIF('Job Log'!$B$2:$B$1000,$A32,'Job Log'!$I$2:$I$1000))</f>
      </c>
      <c r="G32" s="10">
        <f>IF($A32="","",ROUND(E32/60,2))</f>
      </c>
      <c r="H32" s="11">
        <f>IF(OR($A32="",E32=0),"",ROUND(F32/G32,2))</f>
      </c>
      <c r="I32" s="9">
        <f>IF(H32="","",IF(H32&gt;=55,"KEEP — protect this slot",IF(H32&gt;=40,"RE-PRICE at next renewal","RE-PRICE OR RELEASE")))</f>
      </c>
      <c r="J32" s="9">
        <f>IF(H32="","",RANK(H32,$H$2:$H$51))</f>
      </c>
    </row>
    <row r="33">
      <c r="A33" s="9">
        <f>IFERROR(INDEX('Job Log'!$B$2:$B$1000,MATCH(ROW()-1,'Job Log'!$K$2:$K$1000,0)),"")</f>
      </c>
      <c r="B33" s="9">
        <f>IF($A33="","",COUNTIF('Job Log'!$B$2:$B$1000,$A33))</f>
      </c>
      <c r="C33" s="11">
        <f>IF($A33="","",SUMIF('Job Log'!$B$2:$B$1000,$A33,'Job Log'!$C$2:$C$1000))</f>
      </c>
      <c r="D33" s="11">
        <f>IF($A33="","",SUMIF('Job Log'!$B$2:$B$1000,$A33,'Job Log'!$F$2:$F$1000))</f>
      </c>
      <c r="E33" s="9">
        <f>IF($A33="","",SUMIF('Job Log'!$B$2:$B$1000,$A33,'Job Log'!$G$2:$G$1000))</f>
      </c>
      <c r="F33" s="11">
        <f>IF($A33="","",SUMIF('Job Log'!$B$2:$B$1000,$A33,'Job Log'!$I$2:$I$1000))</f>
      </c>
      <c r="G33" s="10">
        <f>IF($A33="","",ROUND(E33/60,2))</f>
      </c>
      <c r="H33" s="11">
        <f>IF(OR($A33="",E33=0),"",ROUND(F33/G33,2))</f>
      </c>
      <c r="I33" s="9">
        <f>IF(H33="","",IF(H33&gt;=55,"KEEP — protect this slot",IF(H33&gt;=40,"RE-PRICE at next renewal","RE-PRICE OR RELEASE")))</f>
      </c>
      <c r="J33" s="9">
        <f>IF(H33="","",RANK(H33,$H$2:$H$51))</f>
      </c>
    </row>
    <row r="34">
      <c r="A34" s="9">
        <f>IFERROR(INDEX('Job Log'!$B$2:$B$1000,MATCH(ROW()-1,'Job Log'!$K$2:$K$1000,0)),"")</f>
      </c>
      <c r="B34" s="9">
        <f>IF($A34="","",COUNTIF('Job Log'!$B$2:$B$1000,$A34))</f>
      </c>
      <c r="C34" s="11">
        <f>IF($A34="","",SUMIF('Job Log'!$B$2:$B$1000,$A34,'Job Log'!$C$2:$C$1000))</f>
      </c>
      <c r="D34" s="11">
        <f>IF($A34="","",SUMIF('Job Log'!$B$2:$B$1000,$A34,'Job Log'!$F$2:$F$1000))</f>
      </c>
      <c r="E34" s="9">
        <f>IF($A34="","",SUMIF('Job Log'!$B$2:$B$1000,$A34,'Job Log'!$G$2:$G$1000))</f>
      </c>
      <c r="F34" s="11">
        <f>IF($A34="","",SUMIF('Job Log'!$B$2:$B$1000,$A34,'Job Log'!$I$2:$I$1000))</f>
      </c>
      <c r="G34" s="10">
        <f>IF($A34="","",ROUND(E34/60,2))</f>
      </c>
      <c r="H34" s="11">
        <f>IF(OR($A34="",E34=0),"",ROUND(F34/G34,2))</f>
      </c>
      <c r="I34" s="9">
        <f>IF(H34="","",IF(H34&gt;=55,"KEEP — protect this slot",IF(H34&gt;=40,"RE-PRICE at next renewal","RE-PRICE OR RELEASE")))</f>
      </c>
      <c r="J34" s="9">
        <f>IF(H34="","",RANK(H34,$H$2:$H$51))</f>
      </c>
    </row>
    <row r="35">
      <c r="A35" s="9">
        <f>IFERROR(INDEX('Job Log'!$B$2:$B$1000,MATCH(ROW()-1,'Job Log'!$K$2:$K$1000,0)),"")</f>
      </c>
      <c r="B35" s="9">
        <f>IF($A35="","",COUNTIF('Job Log'!$B$2:$B$1000,$A35))</f>
      </c>
      <c r="C35" s="11">
        <f>IF($A35="","",SUMIF('Job Log'!$B$2:$B$1000,$A35,'Job Log'!$C$2:$C$1000))</f>
      </c>
      <c r="D35" s="11">
        <f>IF($A35="","",SUMIF('Job Log'!$B$2:$B$1000,$A35,'Job Log'!$F$2:$F$1000))</f>
      </c>
      <c r="E35" s="9">
        <f>IF($A35="","",SUMIF('Job Log'!$B$2:$B$1000,$A35,'Job Log'!$G$2:$G$1000))</f>
      </c>
      <c r="F35" s="11">
        <f>IF($A35="","",SUMIF('Job Log'!$B$2:$B$1000,$A35,'Job Log'!$I$2:$I$1000))</f>
      </c>
      <c r="G35" s="10">
        <f>IF($A35="","",ROUND(E35/60,2))</f>
      </c>
      <c r="H35" s="11">
        <f>IF(OR($A35="",E35=0),"",ROUND(F35/G35,2))</f>
      </c>
      <c r="I35" s="9">
        <f>IF(H35="","",IF(H35&gt;=55,"KEEP — protect this slot",IF(H35&gt;=40,"RE-PRICE at next renewal","RE-PRICE OR RELEASE")))</f>
      </c>
      <c r="J35" s="9">
        <f>IF(H35="","",RANK(H35,$H$2:$H$51))</f>
      </c>
    </row>
    <row r="36">
      <c r="A36" s="9">
        <f>IFERROR(INDEX('Job Log'!$B$2:$B$1000,MATCH(ROW()-1,'Job Log'!$K$2:$K$1000,0)),"")</f>
      </c>
      <c r="B36" s="9">
        <f>IF($A36="","",COUNTIF('Job Log'!$B$2:$B$1000,$A36))</f>
      </c>
      <c r="C36" s="11">
        <f>IF($A36="","",SUMIF('Job Log'!$B$2:$B$1000,$A36,'Job Log'!$C$2:$C$1000))</f>
      </c>
      <c r="D36" s="11">
        <f>IF($A36="","",SUMIF('Job Log'!$B$2:$B$1000,$A36,'Job Log'!$F$2:$F$1000))</f>
      </c>
      <c r="E36" s="9">
        <f>IF($A36="","",SUMIF('Job Log'!$B$2:$B$1000,$A36,'Job Log'!$G$2:$G$1000))</f>
      </c>
      <c r="F36" s="11">
        <f>IF($A36="","",SUMIF('Job Log'!$B$2:$B$1000,$A36,'Job Log'!$I$2:$I$1000))</f>
      </c>
      <c r="G36" s="10">
        <f>IF($A36="","",ROUND(E36/60,2))</f>
      </c>
      <c r="H36" s="11">
        <f>IF(OR($A36="",E36=0),"",ROUND(F36/G36,2))</f>
      </c>
      <c r="I36" s="9">
        <f>IF(H36="","",IF(H36&gt;=55,"KEEP — protect this slot",IF(H36&gt;=40,"RE-PRICE at next renewal","RE-PRICE OR RELEASE")))</f>
      </c>
      <c r="J36" s="9">
        <f>IF(H36="","",RANK(H36,$H$2:$H$51))</f>
      </c>
    </row>
    <row r="37">
      <c r="A37" s="9">
        <f>IFERROR(INDEX('Job Log'!$B$2:$B$1000,MATCH(ROW()-1,'Job Log'!$K$2:$K$1000,0)),"")</f>
      </c>
      <c r="B37" s="9">
        <f>IF($A37="","",COUNTIF('Job Log'!$B$2:$B$1000,$A37))</f>
      </c>
      <c r="C37" s="11">
        <f>IF($A37="","",SUMIF('Job Log'!$B$2:$B$1000,$A37,'Job Log'!$C$2:$C$1000))</f>
      </c>
      <c r="D37" s="11">
        <f>IF($A37="","",SUMIF('Job Log'!$B$2:$B$1000,$A37,'Job Log'!$F$2:$F$1000))</f>
      </c>
      <c r="E37" s="9">
        <f>IF($A37="","",SUMIF('Job Log'!$B$2:$B$1000,$A37,'Job Log'!$G$2:$G$1000))</f>
      </c>
      <c r="F37" s="11">
        <f>IF($A37="","",SUMIF('Job Log'!$B$2:$B$1000,$A37,'Job Log'!$I$2:$I$1000))</f>
      </c>
      <c r="G37" s="10">
        <f>IF($A37="","",ROUND(E37/60,2))</f>
      </c>
      <c r="H37" s="11">
        <f>IF(OR($A37="",E37=0),"",ROUND(F37/G37,2))</f>
      </c>
      <c r="I37" s="9">
        <f>IF(H37="","",IF(H37&gt;=55,"KEEP — protect this slot",IF(H37&gt;=40,"RE-PRICE at next renewal","RE-PRICE OR RELEASE")))</f>
      </c>
      <c r="J37" s="9">
        <f>IF(H37="","",RANK(H37,$H$2:$H$51))</f>
      </c>
    </row>
    <row r="38">
      <c r="A38" s="9">
        <f>IFERROR(INDEX('Job Log'!$B$2:$B$1000,MATCH(ROW()-1,'Job Log'!$K$2:$K$1000,0)),"")</f>
      </c>
      <c r="B38" s="9">
        <f>IF($A38="","",COUNTIF('Job Log'!$B$2:$B$1000,$A38))</f>
      </c>
      <c r="C38" s="11">
        <f>IF($A38="","",SUMIF('Job Log'!$B$2:$B$1000,$A38,'Job Log'!$C$2:$C$1000))</f>
      </c>
      <c r="D38" s="11">
        <f>IF($A38="","",SUMIF('Job Log'!$B$2:$B$1000,$A38,'Job Log'!$F$2:$F$1000))</f>
      </c>
      <c r="E38" s="9">
        <f>IF($A38="","",SUMIF('Job Log'!$B$2:$B$1000,$A38,'Job Log'!$G$2:$G$1000))</f>
      </c>
      <c r="F38" s="11">
        <f>IF($A38="","",SUMIF('Job Log'!$B$2:$B$1000,$A38,'Job Log'!$I$2:$I$1000))</f>
      </c>
      <c r="G38" s="10">
        <f>IF($A38="","",ROUND(E38/60,2))</f>
      </c>
      <c r="H38" s="11">
        <f>IF(OR($A38="",E38=0),"",ROUND(F38/G38,2))</f>
      </c>
      <c r="I38" s="9">
        <f>IF(H38="","",IF(H38&gt;=55,"KEEP — protect this slot",IF(H38&gt;=40,"RE-PRICE at next renewal","RE-PRICE OR RELEASE")))</f>
      </c>
      <c r="J38" s="9">
        <f>IF(H38="","",RANK(H38,$H$2:$H$51))</f>
      </c>
    </row>
    <row r="39">
      <c r="A39" s="9">
        <f>IFERROR(INDEX('Job Log'!$B$2:$B$1000,MATCH(ROW()-1,'Job Log'!$K$2:$K$1000,0)),"")</f>
      </c>
      <c r="B39" s="9">
        <f>IF($A39="","",COUNTIF('Job Log'!$B$2:$B$1000,$A39))</f>
      </c>
      <c r="C39" s="11">
        <f>IF($A39="","",SUMIF('Job Log'!$B$2:$B$1000,$A39,'Job Log'!$C$2:$C$1000))</f>
      </c>
      <c r="D39" s="11">
        <f>IF($A39="","",SUMIF('Job Log'!$B$2:$B$1000,$A39,'Job Log'!$F$2:$F$1000))</f>
      </c>
      <c r="E39" s="9">
        <f>IF($A39="","",SUMIF('Job Log'!$B$2:$B$1000,$A39,'Job Log'!$G$2:$G$1000))</f>
      </c>
      <c r="F39" s="11">
        <f>IF($A39="","",SUMIF('Job Log'!$B$2:$B$1000,$A39,'Job Log'!$I$2:$I$1000))</f>
      </c>
      <c r="G39" s="10">
        <f>IF($A39="","",ROUND(E39/60,2))</f>
      </c>
      <c r="H39" s="11">
        <f>IF(OR($A39="",E39=0),"",ROUND(F39/G39,2))</f>
      </c>
      <c r="I39" s="9">
        <f>IF(H39="","",IF(H39&gt;=55,"KEEP — protect this slot",IF(H39&gt;=40,"RE-PRICE at next renewal","RE-PRICE OR RELEASE")))</f>
      </c>
      <c r="J39" s="9">
        <f>IF(H39="","",RANK(H39,$H$2:$H$51))</f>
      </c>
    </row>
    <row r="40">
      <c r="A40" s="9">
        <f>IFERROR(INDEX('Job Log'!$B$2:$B$1000,MATCH(ROW()-1,'Job Log'!$K$2:$K$1000,0)),"")</f>
      </c>
      <c r="B40" s="9">
        <f>IF($A40="","",COUNTIF('Job Log'!$B$2:$B$1000,$A40))</f>
      </c>
      <c r="C40" s="11">
        <f>IF($A40="","",SUMIF('Job Log'!$B$2:$B$1000,$A40,'Job Log'!$C$2:$C$1000))</f>
      </c>
      <c r="D40" s="11">
        <f>IF($A40="","",SUMIF('Job Log'!$B$2:$B$1000,$A40,'Job Log'!$F$2:$F$1000))</f>
      </c>
      <c r="E40" s="9">
        <f>IF($A40="","",SUMIF('Job Log'!$B$2:$B$1000,$A40,'Job Log'!$G$2:$G$1000))</f>
      </c>
      <c r="F40" s="11">
        <f>IF($A40="","",SUMIF('Job Log'!$B$2:$B$1000,$A40,'Job Log'!$I$2:$I$1000))</f>
      </c>
      <c r="G40" s="10">
        <f>IF($A40="","",ROUND(E40/60,2))</f>
      </c>
      <c r="H40" s="11">
        <f>IF(OR($A40="",E40=0),"",ROUND(F40/G40,2))</f>
      </c>
      <c r="I40" s="9">
        <f>IF(H40="","",IF(H40&gt;=55,"KEEP — protect this slot",IF(H40&gt;=40,"RE-PRICE at next renewal","RE-PRICE OR RELEASE")))</f>
      </c>
      <c r="J40" s="9">
        <f>IF(H40="","",RANK(H40,$H$2:$H$51))</f>
      </c>
    </row>
    <row r="41">
      <c r="A41" s="9">
        <f>IFERROR(INDEX('Job Log'!$B$2:$B$1000,MATCH(ROW()-1,'Job Log'!$K$2:$K$1000,0)),"")</f>
      </c>
      <c r="B41" s="9">
        <f>IF($A41="","",COUNTIF('Job Log'!$B$2:$B$1000,$A41))</f>
      </c>
      <c r="C41" s="11">
        <f>IF($A41="","",SUMIF('Job Log'!$B$2:$B$1000,$A41,'Job Log'!$C$2:$C$1000))</f>
      </c>
      <c r="D41" s="11">
        <f>IF($A41="","",SUMIF('Job Log'!$B$2:$B$1000,$A41,'Job Log'!$F$2:$F$1000))</f>
      </c>
      <c r="E41" s="9">
        <f>IF($A41="","",SUMIF('Job Log'!$B$2:$B$1000,$A41,'Job Log'!$G$2:$G$1000))</f>
      </c>
      <c r="F41" s="11">
        <f>IF($A41="","",SUMIF('Job Log'!$B$2:$B$1000,$A41,'Job Log'!$I$2:$I$1000))</f>
      </c>
      <c r="G41" s="10">
        <f>IF($A41="","",ROUND(E41/60,2))</f>
      </c>
      <c r="H41" s="11">
        <f>IF(OR($A41="",E41=0),"",ROUND(F41/G41,2))</f>
      </c>
      <c r="I41" s="9">
        <f>IF(H41="","",IF(H41&gt;=55,"KEEP — protect this slot",IF(H41&gt;=40,"RE-PRICE at next renewal","RE-PRICE OR RELEASE")))</f>
      </c>
      <c r="J41" s="9">
        <f>IF(H41="","",RANK(H41,$H$2:$H$51))</f>
      </c>
    </row>
    <row r="42">
      <c r="A42" s="9">
        <f>IFERROR(INDEX('Job Log'!$B$2:$B$1000,MATCH(ROW()-1,'Job Log'!$K$2:$K$1000,0)),"")</f>
      </c>
      <c r="B42" s="9">
        <f>IF($A42="","",COUNTIF('Job Log'!$B$2:$B$1000,$A42))</f>
      </c>
      <c r="C42" s="11">
        <f>IF($A42="","",SUMIF('Job Log'!$B$2:$B$1000,$A42,'Job Log'!$C$2:$C$1000))</f>
      </c>
      <c r="D42" s="11">
        <f>IF($A42="","",SUMIF('Job Log'!$B$2:$B$1000,$A42,'Job Log'!$F$2:$F$1000))</f>
      </c>
      <c r="E42" s="9">
        <f>IF($A42="","",SUMIF('Job Log'!$B$2:$B$1000,$A42,'Job Log'!$G$2:$G$1000))</f>
      </c>
      <c r="F42" s="11">
        <f>IF($A42="","",SUMIF('Job Log'!$B$2:$B$1000,$A42,'Job Log'!$I$2:$I$1000))</f>
      </c>
      <c r="G42" s="10">
        <f>IF($A42="","",ROUND(E42/60,2))</f>
      </c>
      <c r="H42" s="11">
        <f>IF(OR($A42="",E42=0),"",ROUND(F42/G42,2))</f>
      </c>
      <c r="I42" s="9">
        <f>IF(H42="","",IF(H42&gt;=55,"KEEP — protect this slot",IF(H42&gt;=40,"RE-PRICE at next renewal","RE-PRICE OR RELEASE")))</f>
      </c>
      <c r="J42" s="9">
        <f>IF(H42="","",RANK(H42,$H$2:$H$51))</f>
      </c>
    </row>
    <row r="43">
      <c r="A43" s="9">
        <f>IFERROR(INDEX('Job Log'!$B$2:$B$1000,MATCH(ROW()-1,'Job Log'!$K$2:$K$1000,0)),"")</f>
      </c>
      <c r="B43" s="9">
        <f>IF($A43="","",COUNTIF('Job Log'!$B$2:$B$1000,$A43))</f>
      </c>
      <c r="C43" s="11">
        <f>IF($A43="","",SUMIF('Job Log'!$B$2:$B$1000,$A43,'Job Log'!$C$2:$C$1000))</f>
      </c>
      <c r="D43" s="11">
        <f>IF($A43="","",SUMIF('Job Log'!$B$2:$B$1000,$A43,'Job Log'!$F$2:$F$1000))</f>
      </c>
      <c r="E43" s="9">
        <f>IF($A43="","",SUMIF('Job Log'!$B$2:$B$1000,$A43,'Job Log'!$G$2:$G$1000))</f>
      </c>
      <c r="F43" s="11">
        <f>IF($A43="","",SUMIF('Job Log'!$B$2:$B$1000,$A43,'Job Log'!$I$2:$I$1000))</f>
      </c>
      <c r="G43" s="10">
        <f>IF($A43="","",ROUND(E43/60,2))</f>
      </c>
      <c r="H43" s="11">
        <f>IF(OR($A43="",E43=0),"",ROUND(F43/G43,2))</f>
      </c>
      <c r="I43" s="9">
        <f>IF(H43="","",IF(H43&gt;=55,"KEEP — protect this slot",IF(H43&gt;=40,"RE-PRICE at next renewal","RE-PRICE OR RELEASE")))</f>
      </c>
      <c r="J43" s="9">
        <f>IF(H43="","",RANK(H43,$H$2:$H$51))</f>
      </c>
    </row>
    <row r="44">
      <c r="A44" s="9">
        <f>IFERROR(INDEX('Job Log'!$B$2:$B$1000,MATCH(ROW()-1,'Job Log'!$K$2:$K$1000,0)),"")</f>
      </c>
      <c r="B44" s="9">
        <f>IF($A44="","",COUNTIF('Job Log'!$B$2:$B$1000,$A44))</f>
      </c>
      <c r="C44" s="11">
        <f>IF($A44="","",SUMIF('Job Log'!$B$2:$B$1000,$A44,'Job Log'!$C$2:$C$1000))</f>
      </c>
      <c r="D44" s="11">
        <f>IF($A44="","",SUMIF('Job Log'!$B$2:$B$1000,$A44,'Job Log'!$F$2:$F$1000))</f>
      </c>
      <c r="E44" s="9">
        <f>IF($A44="","",SUMIF('Job Log'!$B$2:$B$1000,$A44,'Job Log'!$G$2:$G$1000))</f>
      </c>
      <c r="F44" s="11">
        <f>IF($A44="","",SUMIF('Job Log'!$B$2:$B$1000,$A44,'Job Log'!$I$2:$I$1000))</f>
      </c>
      <c r="G44" s="10">
        <f>IF($A44="","",ROUND(E44/60,2))</f>
      </c>
      <c r="H44" s="11">
        <f>IF(OR($A44="",E44=0),"",ROUND(F44/G44,2))</f>
      </c>
      <c r="I44" s="9">
        <f>IF(H44="","",IF(H44&gt;=55,"KEEP — protect this slot",IF(H44&gt;=40,"RE-PRICE at next renewal","RE-PRICE OR RELEASE")))</f>
      </c>
      <c r="J44" s="9">
        <f>IF(H44="","",RANK(H44,$H$2:$H$51))</f>
      </c>
    </row>
    <row r="45">
      <c r="A45" s="9">
        <f>IFERROR(INDEX('Job Log'!$B$2:$B$1000,MATCH(ROW()-1,'Job Log'!$K$2:$K$1000,0)),"")</f>
      </c>
      <c r="B45" s="9">
        <f>IF($A45="","",COUNTIF('Job Log'!$B$2:$B$1000,$A45))</f>
      </c>
      <c r="C45" s="11">
        <f>IF($A45="","",SUMIF('Job Log'!$B$2:$B$1000,$A45,'Job Log'!$C$2:$C$1000))</f>
      </c>
      <c r="D45" s="11">
        <f>IF($A45="","",SUMIF('Job Log'!$B$2:$B$1000,$A45,'Job Log'!$F$2:$F$1000))</f>
      </c>
      <c r="E45" s="9">
        <f>IF($A45="","",SUMIF('Job Log'!$B$2:$B$1000,$A45,'Job Log'!$G$2:$G$1000))</f>
      </c>
      <c r="F45" s="11">
        <f>IF($A45="","",SUMIF('Job Log'!$B$2:$B$1000,$A45,'Job Log'!$I$2:$I$1000))</f>
      </c>
      <c r="G45" s="10">
        <f>IF($A45="","",ROUND(E45/60,2))</f>
      </c>
      <c r="H45" s="11">
        <f>IF(OR($A45="",E45=0),"",ROUND(F45/G45,2))</f>
      </c>
      <c r="I45" s="9">
        <f>IF(H45="","",IF(H45&gt;=55,"KEEP — protect this slot",IF(H45&gt;=40,"RE-PRICE at next renewal","RE-PRICE OR RELEASE")))</f>
      </c>
      <c r="J45" s="9">
        <f>IF(H45="","",RANK(H45,$H$2:$H$51))</f>
      </c>
    </row>
    <row r="46">
      <c r="A46" s="9">
        <f>IFERROR(INDEX('Job Log'!$B$2:$B$1000,MATCH(ROW()-1,'Job Log'!$K$2:$K$1000,0)),"")</f>
      </c>
      <c r="B46" s="9">
        <f>IF($A46="","",COUNTIF('Job Log'!$B$2:$B$1000,$A46))</f>
      </c>
      <c r="C46" s="11">
        <f>IF($A46="","",SUMIF('Job Log'!$B$2:$B$1000,$A46,'Job Log'!$C$2:$C$1000))</f>
      </c>
      <c r="D46" s="11">
        <f>IF($A46="","",SUMIF('Job Log'!$B$2:$B$1000,$A46,'Job Log'!$F$2:$F$1000))</f>
      </c>
      <c r="E46" s="9">
        <f>IF($A46="","",SUMIF('Job Log'!$B$2:$B$1000,$A46,'Job Log'!$G$2:$G$1000))</f>
      </c>
      <c r="F46" s="11">
        <f>IF($A46="","",SUMIF('Job Log'!$B$2:$B$1000,$A46,'Job Log'!$I$2:$I$1000))</f>
      </c>
      <c r="G46" s="10">
        <f>IF($A46="","",ROUND(E46/60,2))</f>
      </c>
      <c r="H46" s="11">
        <f>IF(OR($A46="",E46=0),"",ROUND(F46/G46,2))</f>
      </c>
      <c r="I46" s="9">
        <f>IF(H46="","",IF(H46&gt;=55,"KEEP — protect this slot",IF(H46&gt;=40,"RE-PRICE at next renewal","RE-PRICE OR RELEASE")))</f>
      </c>
      <c r="J46" s="9">
        <f>IF(H46="","",RANK(H46,$H$2:$H$51))</f>
      </c>
    </row>
    <row r="47">
      <c r="A47" s="9">
        <f>IFERROR(INDEX('Job Log'!$B$2:$B$1000,MATCH(ROW()-1,'Job Log'!$K$2:$K$1000,0)),"")</f>
      </c>
      <c r="B47" s="9">
        <f>IF($A47="","",COUNTIF('Job Log'!$B$2:$B$1000,$A47))</f>
      </c>
      <c r="C47" s="11">
        <f>IF($A47="","",SUMIF('Job Log'!$B$2:$B$1000,$A47,'Job Log'!$C$2:$C$1000))</f>
      </c>
      <c r="D47" s="11">
        <f>IF($A47="","",SUMIF('Job Log'!$B$2:$B$1000,$A47,'Job Log'!$F$2:$F$1000))</f>
      </c>
      <c r="E47" s="9">
        <f>IF($A47="","",SUMIF('Job Log'!$B$2:$B$1000,$A47,'Job Log'!$G$2:$G$1000))</f>
      </c>
      <c r="F47" s="11">
        <f>IF($A47="","",SUMIF('Job Log'!$B$2:$B$1000,$A47,'Job Log'!$I$2:$I$1000))</f>
      </c>
      <c r="G47" s="10">
        <f>IF($A47="","",ROUND(E47/60,2))</f>
      </c>
      <c r="H47" s="11">
        <f>IF(OR($A47="",E47=0),"",ROUND(F47/G47,2))</f>
      </c>
      <c r="I47" s="9">
        <f>IF(H47="","",IF(H47&gt;=55,"KEEP — protect this slot",IF(H47&gt;=40,"RE-PRICE at next renewal","RE-PRICE OR RELEASE")))</f>
      </c>
      <c r="J47" s="9">
        <f>IF(H47="","",RANK(H47,$H$2:$H$51))</f>
      </c>
    </row>
    <row r="48">
      <c r="A48" s="9">
        <f>IFERROR(INDEX('Job Log'!$B$2:$B$1000,MATCH(ROW()-1,'Job Log'!$K$2:$K$1000,0)),"")</f>
      </c>
      <c r="B48" s="9">
        <f>IF($A48="","",COUNTIF('Job Log'!$B$2:$B$1000,$A48))</f>
      </c>
      <c r="C48" s="11">
        <f>IF($A48="","",SUMIF('Job Log'!$B$2:$B$1000,$A48,'Job Log'!$C$2:$C$1000))</f>
      </c>
      <c r="D48" s="11">
        <f>IF($A48="","",SUMIF('Job Log'!$B$2:$B$1000,$A48,'Job Log'!$F$2:$F$1000))</f>
      </c>
      <c r="E48" s="9">
        <f>IF($A48="","",SUMIF('Job Log'!$B$2:$B$1000,$A48,'Job Log'!$G$2:$G$1000))</f>
      </c>
      <c r="F48" s="11">
        <f>IF($A48="","",SUMIF('Job Log'!$B$2:$B$1000,$A48,'Job Log'!$I$2:$I$1000))</f>
      </c>
      <c r="G48" s="10">
        <f>IF($A48="","",ROUND(E48/60,2))</f>
      </c>
      <c r="H48" s="11">
        <f>IF(OR($A48="",E48=0),"",ROUND(F48/G48,2))</f>
      </c>
      <c r="I48" s="9">
        <f>IF(H48="","",IF(H48&gt;=55,"KEEP — protect this slot",IF(H48&gt;=40,"RE-PRICE at next renewal","RE-PRICE OR RELEASE")))</f>
      </c>
      <c r="J48" s="9">
        <f>IF(H48="","",RANK(H48,$H$2:$H$51))</f>
      </c>
    </row>
    <row r="49">
      <c r="A49" s="9">
        <f>IFERROR(INDEX('Job Log'!$B$2:$B$1000,MATCH(ROW()-1,'Job Log'!$K$2:$K$1000,0)),"")</f>
      </c>
      <c r="B49" s="9">
        <f>IF($A49="","",COUNTIF('Job Log'!$B$2:$B$1000,$A49))</f>
      </c>
      <c r="C49" s="11">
        <f>IF($A49="","",SUMIF('Job Log'!$B$2:$B$1000,$A49,'Job Log'!$C$2:$C$1000))</f>
      </c>
      <c r="D49" s="11">
        <f>IF($A49="","",SUMIF('Job Log'!$B$2:$B$1000,$A49,'Job Log'!$F$2:$F$1000))</f>
      </c>
      <c r="E49" s="9">
        <f>IF($A49="","",SUMIF('Job Log'!$B$2:$B$1000,$A49,'Job Log'!$G$2:$G$1000))</f>
      </c>
      <c r="F49" s="11">
        <f>IF($A49="","",SUMIF('Job Log'!$B$2:$B$1000,$A49,'Job Log'!$I$2:$I$1000))</f>
      </c>
      <c r="G49" s="10">
        <f>IF($A49="","",ROUND(E49/60,2))</f>
      </c>
      <c r="H49" s="11">
        <f>IF(OR($A49="",E49=0),"",ROUND(F49/G49,2))</f>
      </c>
      <c r="I49" s="9">
        <f>IF(H49="","",IF(H49&gt;=55,"KEEP — protect this slot",IF(H49&gt;=40,"RE-PRICE at next renewal","RE-PRICE OR RELEASE")))</f>
      </c>
      <c r="J49" s="9">
        <f>IF(H49="","",RANK(H49,$H$2:$H$51))</f>
      </c>
    </row>
    <row r="50">
      <c r="A50" s="9">
        <f>IFERROR(INDEX('Job Log'!$B$2:$B$1000,MATCH(ROW()-1,'Job Log'!$K$2:$K$1000,0)),"")</f>
      </c>
      <c r="B50" s="9">
        <f>IF($A50="","",COUNTIF('Job Log'!$B$2:$B$1000,$A50))</f>
      </c>
      <c r="C50" s="11">
        <f>IF($A50="","",SUMIF('Job Log'!$B$2:$B$1000,$A50,'Job Log'!$C$2:$C$1000))</f>
      </c>
      <c r="D50" s="11">
        <f>IF($A50="","",SUMIF('Job Log'!$B$2:$B$1000,$A50,'Job Log'!$F$2:$F$1000))</f>
      </c>
      <c r="E50" s="9">
        <f>IF($A50="","",SUMIF('Job Log'!$B$2:$B$1000,$A50,'Job Log'!$G$2:$G$1000))</f>
      </c>
      <c r="F50" s="11">
        <f>IF($A50="","",SUMIF('Job Log'!$B$2:$B$1000,$A50,'Job Log'!$I$2:$I$1000))</f>
      </c>
      <c r="G50" s="10">
        <f>IF($A50="","",ROUND(E50/60,2))</f>
      </c>
      <c r="H50" s="11">
        <f>IF(OR($A50="",E50=0),"",ROUND(F50/G50,2))</f>
      </c>
      <c r="I50" s="9">
        <f>IF(H50="","",IF(H50&gt;=55,"KEEP — protect this slot",IF(H50&gt;=40,"RE-PRICE at next renewal","RE-PRICE OR RELEASE")))</f>
      </c>
      <c r="J50" s="9">
        <f>IF(H50="","",RANK(H50,$H$2:$H$51))</f>
      </c>
    </row>
    <row r="51">
      <c r="A51" s="9">
        <f>IFERROR(INDEX('Job Log'!$B$2:$B$1000,MATCH(ROW()-1,'Job Log'!$K$2:$K$1000,0)),"")</f>
      </c>
      <c r="B51" s="9">
        <f>IF($A51="","",COUNTIF('Job Log'!$B$2:$B$1000,$A51))</f>
      </c>
      <c r="C51" s="11">
        <f>IF($A51="","",SUMIF('Job Log'!$B$2:$B$1000,$A51,'Job Log'!$C$2:$C$1000))</f>
      </c>
      <c r="D51" s="11">
        <f>IF($A51="","",SUMIF('Job Log'!$B$2:$B$1000,$A51,'Job Log'!$F$2:$F$1000))</f>
      </c>
      <c r="E51" s="9">
        <f>IF($A51="","",SUMIF('Job Log'!$B$2:$B$1000,$A51,'Job Log'!$G$2:$G$1000))</f>
      </c>
      <c r="F51" s="11">
        <f>IF($A51="","",SUMIF('Job Log'!$B$2:$B$1000,$A51,'Job Log'!$I$2:$I$1000))</f>
      </c>
      <c r="G51" s="10">
        <f>IF($A51="","",ROUND(E51/60,2))</f>
      </c>
      <c r="H51" s="11">
        <f>IF(OR($A51="",E51=0),"",ROUND(F51/G51,2))</f>
      </c>
      <c r="I51" s="9">
        <f>IF(H51="","",IF(H51&gt;=55,"KEEP — protect this slot",IF(H51&gt;=40,"RE-PRICE at next renewal","RE-PRICE OR RELEASE")))</f>
      </c>
      <c r="J51" s="9">
        <f>IF(H51="","",RANK(H51,$H$2:$H$51))</f>
      </c>
    </row>
    <row r="54">
      <c r="A54" s="14" t="inlineStr">
        <is>
          <t xml:space="preserve">Review monthly, act quarterly. Bottom client gets one of three moves: re-zone (move them to a day when you're already nearby), re-price (a $20 bump fixes most of these), or release. You are not obligated to keep a client whose real pay is under your floor — that slot is inventory, and inventory should earn.</t>
        </is>
      </c>
    </row>
  </sheetData>
  <autoFilter ref="A1:J51"/>
  <mergeCells count="1">
    <mergeCell ref="A54:H57"/>
  </mergeCells>
  <conditionalFormatting sqref="H2:H51">
    <cfRule type="cellIs" dxfId="1" priority="1" operator="lessThan">
      <formula>40</formula>
    </cfRule>
    <cfRule type="cellIs" dxfId="2" priority="2" operator="between">
      <formula>40</formula>
      <formula>55</formula>
    </cfRule>
    <cfRule type="cellIs" dxfId="0" priority="3" operator="greaterThan">
      <formula>55</formula>
    </cfRule>
  </conditionalFormatting>
</worksheet>
</file>