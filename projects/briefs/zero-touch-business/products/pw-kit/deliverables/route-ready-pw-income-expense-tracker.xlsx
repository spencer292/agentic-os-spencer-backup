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art Here" sheetId="1" r:id="rId1"/>
    <sheet name="Income" sheetId="2" r:id="rId2"/>
    <sheet name="Expenses" sheetId="3" r:id="rId3"/>
    <sheet name="Summary" sheetId="4" r:id="rId4"/>
  </sheets>
  <calcPr calcId="171027" fullCalcOnLoad="1"/>
</workbook>
</file>

<file path=xl/styles.xml><?xml version="1.0" encoding="utf-8"?>
<styleSheet xmlns="http://schemas.openxmlformats.org/spreadsheetml/2006/main">
  <numFmts count="5">
    <numFmt numFmtId="164" formatCode="&quot;$&quot;#,##0.00"/>
    <numFmt numFmtId="165" formatCode="0.00"/>
    <numFmt numFmtId="166" formatCode="mmm\ yyyy"/>
    <numFmt numFmtId="167" formatCode="mmm"/>
    <numFmt numFmtId="168" formatCode="yyyy\-mm\-dd"/>
  </numFmts>
  <fonts count="5">
    <font>
      <sz val="11"/>
      <name val="Calibri"/>
    </font>
    <font>
      <b/>
      <sz val="11"/>
      <name val="Calibri"/>
    </font>
    <font>
      <b/>
      <sz val="11"/>
      <color rgb="FFFFFFFF"/>
      <name val="Calibri"/>
    </font>
    <font>
      <i/>
      <sz val="10"/>
      <color rgb="FF666666"/>
      <name val="Calibri"/>
    </font>
    <font>
      <b/>
      <sz val="14"/>
      <name val="Calibri"/>
    </font>
  </fonts>
  <fills count="5">
    <fill>
      <patternFill patternType="none"/>
    </fill>
    <fill>
      <patternFill patternType="gray125"/>
    </fill>
    <fill>
      <patternFill patternType="solid">
        <fgColor rgb="FFFFF2CC"/>
        <bgColor indexed="64"/>
      </patternFill>
    </fill>
    <fill>
      <patternFill patternType="solid">
        <fgColor rgb="FFD9EAD3"/>
        <bgColor indexed="64"/>
      </patternFill>
    </fill>
    <fill>
      <patternFill patternType="solid">
        <fgColor rgb="FF1A7F4B"/>
        <bgColor indexed="64"/>
      </patternFill>
    </fill>
  </fills>
  <borders count="1">
    <border>
      <left/>
      <right/>
      <top/>
      <bottom/>
      <diagonal/>
    </border>
  </borders>
  <cellStyleXfs count="1">
    <xf numFmtId="0" fontId="0" fillId="0" borderId="0"/>
  </cellStyleXfs>
  <cellXfs count="18">
    <xf numFmtId="0" fontId="0" fillId="0" borderId="0" xfId="0" applyNumberFormat="1" applyFont="1" applyFill="1"/>
    <xf numFmtId="0" fontId="4" fillId="0" borderId="0" xfId="0" applyNumberFormat="1" applyFont="1" applyFill="1"/>
    <xf numFmtId="0" fontId="2" fillId="4" borderId="0" xfId="0" applyNumberFormat="1" applyFont="1" applyFill="1"/>
    <xf numFmtId="0" fontId="1" fillId="0" borderId="0" xfId="0" applyNumberFormat="1" applyFont="1" applyFill="1"/>
    <xf numFmtId="0" fontId="0" fillId="2" borderId="0" xfId="0" applyNumberFormat="1" applyFont="1" applyFill="1"/>
    <xf numFmtId="165" fontId="0" fillId="2" borderId="0" xfId="0" applyNumberFormat="1" applyFont="1" applyFill="1"/>
    <xf numFmtId="164" fontId="0" fillId="2" borderId="0" xfId="0" applyNumberFormat="1" applyFont="1" applyFill="1"/>
    <xf numFmtId="168" fontId="0" fillId="2" borderId="0" xfId="0" applyNumberFormat="1" applyFont="1" applyFill="1"/>
    <xf numFmtId="1" fontId="0" fillId="2" borderId="0" xfId="0" applyNumberFormat="1" applyFont="1" applyFill="1"/>
    <xf numFmtId="0" fontId="0" fillId="3" borderId="0" xfId="0" applyNumberFormat="1" applyFont="1" applyFill="1"/>
    <xf numFmtId="165" fontId="0" fillId="3" borderId="0" xfId="0" applyNumberFormat="1" applyFont="1" applyFill="1"/>
    <xf numFmtId="164" fontId="0" fillId="3" borderId="0" xfId="0" applyNumberFormat="1" applyFont="1" applyFill="1"/>
    <xf numFmtId="9" fontId="0" fillId="3" borderId="0" xfId="0" applyNumberFormat="1" applyFont="1" applyFill="1"/>
    <xf numFmtId="166" fontId="0" fillId="3" borderId="0" xfId="0" applyNumberFormat="1" applyFont="1" applyFill="1"/>
    <xf numFmtId="0" fontId="3" fillId="0" borderId="0" xfId="0" applyNumberFormat="1" applyFont="1" applyFill="1" applyAlignment="1">
      <alignment wrapText="1"/>
    </xf>
    <xf numFmtId="0" fontId="0" fillId="0" borderId="0" xfId="0" applyNumberFormat="1" applyFont="1" applyFill="1" applyAlignment="1">
      <alignment wrapText="1" vertical="top"/>
    </xf>
    <xf numFmtId="167" fontId="2" fillId="4" borderId="0" xfId="0" applyNumberFormat="1" applyFont="1" applyFill="1"/>
    <xf numFmtId="0" fontId="0" fillId="3" borderId="0" xfId="0" applyNumberFormat="1" applyFont="1" applyFill="1" applyAlignment="1">
      <alignment wrapText="1"/>
    </xf>
  </cellXfs>
  <cellStyles count="1">
    <cellStyle name="Normal" xfId="0" builtinId="0"/>
  </cellStyles>
  <dxfs count="4">
    <dxf>
      <font>
        <color rgb="FF006100"/>
      </font>
      <fill>
        <patternFill>
          <bgColor rgb="FFC6EFCE"/>
        </patternFill>
      </fill>
    </dxf>
    <dxf>
      <font>
        <b/>
        <color rgb="FF9C0006"/>
      </font>
      <fill>
        <patternFill>
          <bgColor rgb="FFFFC7CE"/>
        </patternFill>
      </fill>
    </dxf>
    <dxf>
      <font>
        <color rgb="FF9C6500"/>
      </font>
      <fill>
        <patternFill>
          <bgColor rgb="FFFFEB9C"/>
        </patternFill>
      </fill>
    </dxf>
    <dxf>
      <font>
        <color rgb="FFFF0000"/>
      </font>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8" customWidth="1"/>
    <col min="2" max="2" width="18" customWidth="1"/>
    <col min="3" max="3" width="18" customWidth="1"/>
    <col min="4" max="4" width="18" customWidth="1"/>
    <col min="5" max="5" width="18" customWidth="1"/>
    <col min="6" max="6" width="18" customWidth="1"/>
  </cols>
  <sheetData>
    <row r="1">
      <c r="A1" s="15" t="inlineStr">
        <is>
          <t xml:space="preserve">Income &amp; Expense Tracker — how to use
One row per transaction. Money in on the Income tab, money out on the Expenses tab, and the Summary tab totals it by month and by category.
Do this weekly, not at tax time. Fifteen minutes on a Friday beats a lost weekend in April, and the expenses you forget are the deductions you donate to the IRS.
The categories are set up for this trade — chemicals, equipment repair, fuel, and insurance are where your money actually goes. Change them to match your accountant's chart of accounts if you have one.
This is a bookkeeping aid, not tax advice. Talk to a CPA about what's deductible in your situation.
Convention: yellow cells = inputs (type here), green cells = outputs (never type here).</t>
        </is>
      </c>
    </row>
  </sheetData>
  <mergeCells count="1">
    <mergeCell ref="A1:F16"/>
  </mergeCells>
</worksheet>
</file>

<file path=xl/worksheets/sheet2.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2" customWidth="1"/>
    <col min="3" max="3" width="22" customWidth="1"/>
    <col min="4" max="4" width="13" customWidth="1"/>
    <col min="5" max="5" width="12" customWidth="1"/>
    <col min="6" max="6" width="9" customWidth="1"/>
    <col min="7" max="7" width="40" customWidth="1"/>
  </cols>
  <sheetData>
    <row r="1">
      <c r="A1" s="2" t="inlineStr">
        <is>
          <t xml:space="preserve">Date</t>
        </is>
      </c>
      <c r="B1" s="2" t="inlineStr">
        <is>
          <t xml:space="preserve">Customer</t>
        </is>
      </c>
      <c r="C1" s="2" t="inlineStr">
        <is>
          <t xml:space="preserve">Service</t>
        </is>
      </c>
      <c r="D1" s="2" t="inlineStr">
        <is>
          <t xml:space="preserve">Amount ($)</t>
        </is>
      </c>
      <c r="E1" s="2" t="inlineStr">
        <is>
          <t xml:space="preserve">Method</t>
        </is>
      </c>
      <c r="F1" s="2" t="inlineStr">
        <is>
          <t xml:space="preserve">Paid?</t>
        </is>
      </c>
      <c r="G1" s="2" t="inlineStr">
        <is>
          <t xml:space="preserve">Notes</t>
        </is>
      </c>
    </row>
    <row r="2">
      <c r="A2" s="7">
        <v>46209</v>
      </c>
      <c r="B2" s="4" t="inlineStr">
        <is>
          <t xml:space="preserve">Alvarez, R.</t>
        </is>
      </c>
      <c r="C2" s="4" t="inlineStr">
        <is>
          <t xml:space="preserve">House Wash</t>
        </is>
      </c>
      <c r="D2" s="6">
        <v>350</v>
      </c>
      <c r="E2" s="4" t="inlineStr">
        <is>
          <t xml:space="preserve">Card</t>
        </is>
      </c>
      <c r="F2" s="4" t="inlineStr">
        <is>
          <t xml:space="preserve">Yes</t>
        </is>
      </c>
    </row>
    <row r="3">
      <c r="A3" s="7">
        <v>46211</v>
      </c>
      <c r="B3" s="4" t="inlineStr">
        <is>
          <t xml:space="preserve">Nguyen, T.</t>
        </is>
      </c>
      <c r="C3" s="4" t="inlineStr">
        <is>
          <t xml:space="preserve">Driveway</t>
        </is>
      </c>
      <c r="D3" s="6">
        <v>225</v>
      </c>
      <c r="E3" s="4" t="inlineStr">
        <is>
          <t xml:space="preserve">Check</t>
        </is>
      </c>
      <c r="F3" s="4" t="inlineStr">
        <is>
          <t xml:space="preserve">Yes</t>
        </is>
      </c>
    </row>
    <row r="4">
      <c r="A4" s="7">
        <v>46215</v>
      </c>
      <c r="B4" s="4" t="inlineStr">
        <is>
          <t xml:space="preserve">Whitaker, J.</t>
        </is>
      </c>
      <c r="C4" s="4" t="inlineStr">
        <is>
          <t xml:space="preserve">Deck</t>
        </is>
      </c>
      <c r="D4" s="6">
        <v>320</v>
      </c>
      <c r="E4" s="4" t="inlineStr">
        <is>
          <t xml:space="preserve">Invoice</t>
        </is>
      </c>
      <c r="F4" s="4" t="inlineStr">
        <is>
          <t xml:space="preserve">No</t>
        </is>
      </c>
    </row>
  </sheetData>
  <autoFilter ref="A1:G500"/>
  <dataValidations count="2">
    <dataValidation type="list" allowBlank="1" showInputMessage="1" showErrorMessage="1" sqref="E2:E500">
      <formula1>"Cash,Check,Card,Invoice,Other"</formula1>
    </dataValidation>
    <dataValidation type="list" allowBlank="1" showInputMessage="1" showErrorMessage="1" sqref="F2:F500">
      <formula1>"Yes,No"</formula1>
    </dataValidation>
  </dataValidations>
</worksheet>
</file>

<file path=xl/worksheets/sheet3.xml><?xml version="1.0" encoding="utf-8"?>
<worksheet xmlns="http://schemas.openxmlformats.org/spreadsheetml/2006/main">
  <sheetViews>
    <sheetView workbookViewId="0">
      <pane ySplit="1" topLeftCell="A2" activePane="bottomLeft" state="frozen"/>
      <selection pane="bottomLeft" activeCell="A2" sqref="A2"/>
    </sheetView>
  </sheetViews>
  <cols>
    <col min="1" max="1" width="12" customWidth="1"/>
    <col min="2" max="2" width="24" customWidth="1"/>
    <col min="3" max="3" width="28" customWidth="1"/>
    <col min="4" max="4" width="13" customWidth="1"/>
    <col min="5" max="5" width="44" customWidth="1"/>
  </cols>
  <sheetData>
    <row r="1">
      <c r="A1" s="2" t="inlineStr">
        <is>
          <t xml:space="preserve">Date</t>
        </is>
      </c>
      <c r="B1" s="2" t="inlineStr">
        <is>
          <t xml:space="preserve">Vendor</t>
        </is>
      </c>
      <c r="C1" s="2" t="inlineStr">
        <is>
          <t xml:space="preserve">Category</t>
        </is>
      </c>
      <c r="D1" s="2" t="inlineStr">
        <is>
          <t xml:space="preserve">Amount ($)</t>
        </is>
      </c>
      <c r="E1" s="2" t="inlineStr">
        <is>
          <t xml:space="preserve">Notes</t>
        </is>
      </c>
    </row>
    <row r="2">
      <c r="A2" s="7">
        <v>46204</v>
      </c>
      <c r="B2" s="4" t="inlineStr">
        <is>
          <t xml:space="preserve">Supply house</t>
        </is>
      </c>
      <c r="C2" s="4" t="inlineStr">
        <is>
          <t xml:space="preserve">Chemicals</t>
        </is>
      </c>
      <c r="D2" s="6">
        <v>145</v>
      </c>
      <c r="E2" s="4" t="inlineStr">
        <is>
          <t xml:space="preserve">SH, surfactant, gutter cleaner</t>
        </is>
      </c>
    </row>
    <row r="3">
      <c r="A3" s="7">
        <v>46206</v>
      </c>
      <c r="B3" s="4" t="inlineStr">
        <is>
          <t xml:space="preserve">Fuel stop</t>
        </is>
      </c>
      <c r="C3" s="4" t="inlineStr">
        <is>
          <t xml:space="preserve">Fuel</t>
        </is>
      </c>
      <c r="D3" s="6">
        <v>78</v>
      </c>
    </row>
    <row r="4">
      <c r="A4" s="7">
        <v>46208</v>
      </c>
      <c r="B4" s="4" t="inlineStr">
        <is>
          <t xml:space="preserve">Insurance co.</t>
        </is>
      </c>
      <c r="C4" s="4" t="inlineStr">
        <is>
          <t xml:space="preserve">Insurance</t>
        </is>
      </c>
      <c r="D4" s="6">
        <v>165</v>
      </c>
      <c r="E4" s="4" t="inlineStr">
        <is>
          <t xml:space="preserve">Monthly GL premium</t>
        </is>
      </c>
    </row>
  </sheetData>
  <autoFilter ref="A1:E500"/>
  <dataValidations count="1">
    <dataValidation type="list" allowBlank="1" showInputMessage="1" showErrorMessage="1" sqref="C2:C500">
      <formula1>'Summary'!$A$14:$A$25</formula1>
    </dataValidation>
  </dataValidations>
</worksheet>
</file>

<file path=xl/worksheets/sheet4.xml><?xml version="1.0" encoding="utf-8"?>
<worksheet xmlns="http://schemas.openxmlformats.org/spreadsheetml/2006/main">
  <sheetViews>
    <sheetView workbookViewId="0"/>
  </sheetViews>
  <cols>
    <col min="1" max="1" width="32" customWidth="1"/>
    <col min="2" max="2" width="16" customWidth="1"/>
    <col min="3" max="3" width="52" customWidth="1"/>
  </cols>
  <sheetData>
    <row r="1">
      <c r="A1" s="2" t="inlineStr">
        <is>
          <t xml:space="preserve">SUMMARY</t>
        </is>
      </c>
      <c r="B1" s="2" t="inlineStr">
        <is>
          <t xml:space="preserve"/>
        </is>
      </c>
      <c r="C1" s="2" t="inlineStr">
        <is>
          <t xml:space="preserve"/>
        </is>
      </c>
    </row>
    <row r="3">
      <c r="A3" s="3" t="inlineStr">
        <is>
          <t xml:space="preserve">Total income</t>
        </is>
      </c>
      <c r="B3" s="11">
        <f>SUM(Income!D2:D500)</f>
      </c>
    </row>
    <row r="4">
      <c r="A4" s="3" t="inlineStr">
        <is>
          <t xml:space="preserve">Collected</t>
        </is>
      </c>
      <c r="B4" s="11">
        <f>SUMIF(Income!F2:F500,"Yes",Income!D2:D500)</f>
      </c>
    </row>
    <row r="5">
      <c r="A5" s="3" t="inlineStr">
        <is>
          <t xml:space="preserve">Outstanding (unpaid)</t>
        </is>
      </c>
      <c r="B5" s="11">
        <f>SUMIF(Income!F2:F500,"No",Income!D2:D500)</f>
      </c>
      <c r="C5" s="14" t="inlineStr">
        <is>
          <t xml:space="preserve">Chase anything here older than your terms — today, not next month</t>
        </is>
      </c>
    </row>
    <row r="6">
      <c r="A6" s="3" t="inlineStr">
        <is>
          <t xml:space="preserve">Total expenses</t>
        </is>
      </c>
      <c r="B6" s="11">
        <f>SUM(Expenses!D2:D500)</f>
      </c>
    </row>
    <row r="7">
      <c r="A7" s="3" t="inlineStr">
        <is>
          <t xml:space="preserve">Net (income - expenses)</t>
        </is>
      </c>
      <c r="B7" s="11">
        <f>B3-B6</f>
      </c>
    </row>
    <row r="8">
      <c r="A8" s="3" t="inlineStr">
        <is>
          <t xml:space="preserve">Margin</t>
        </is>
      </c>
      <c r="B8" s="12">
        <f>IF(B3=0,"",B7/B3)</f>
      </c>
    </row>
    <row r="10">
      <c r="A10" s="3" t="inlineStr">
        <is>
          <t xml:space="preserve">Set aside for taxes</t>
        </is>
      </c>
      <c r="B10" s="11">
        <f>IF(B7&lt;0,0,ROUND(B7*B11,2))</f>
      </c>
    </row>
    <row r="11">
      <c r="A11" s="3" t="inlineStr">
        <is>
          <t xml:space="preserve">Tax set-aside rate</t>
        </is>
      </c>
      <c r="B11" s="5">
        <v>0.25</v>
      </c>
      <c r="C11" s="14" t="inlineStr">
        <is>
          <t xml:space="preserve">Common rule of thumb for self-employment; confirm with your CPA</t>
        </is>
      </c>
    </row>
    <row r="13">
      <c r="A13" s="2" t="inlineStr">
        <is>
          <t xml:space="preserve">EXPENSES BY CATEGORY</t>
        </is>
      </c>
      <c r="B13" s="2" t="inlineStr">
        <is>
          <t xml:space="preserve"/>
        </is>
      </c>
      <c r="C13" s="2" t="inlineStr">
        <is>
          <t xml:space="preserve"/>
        </is>
      </c>
    </row>
    <row r="14">
      <c r="A14" s="4" t="inlineStr">
        <is>
          <t xml:space="preserve">Chemicals</t>
        </is>
      </c>
      <c r="B14" s="11">
        <f>SUMIF(Expenses!C2:C500,A14,Expenses!D2:D500)</f>
      </c>
      <c r="C14" s="12">
        <f>IF($B$6=0,"",B14/$B$6)</f>
      </c>
    </row>
    <row r="15">
      <c r="A15" s="4" t="inlineStr">
        <is>
          <t xml:space="preserve">Fuel</t>
        </is>
      </c>
      <c r="B15" s="11">
        <f>SUMIF(Expenses!C2:C500,A15,Expenses!D2:D500)</f>
      </c>
      <c r="C15" s="12">
        <f>IF($B$6=0,"",B15/$B$6)</f>
      </c>
    </row>
    <row r="16">
      <c r="A16" s="4" t="inlineStr">
        <is>
          <t xml:space="preserve">Equipment purchase</t>
        </is>
      </c>
      <c r="B16" s="11">
        <f>SUMIF(Expenses!C2:C500,A16,Expenses!D2:D500)</f>
      </c>
      <c r="C16" s="12">
        <f>IF($B$6=0,"",B16/$B$6)</f>
      </c>
    </row>
    <row r="17">
      <c r="A17" s="4" t="inlineStr">
        <is>
          <t xml:space="preserve">Equipment repair/maintenance</t>
        </is>
      </c>
      <c r="B17" s="11">
        <f>SUMIF(Expenses!C2:C500,A17,Expenses!D2:D500)</f>
      </c>
      <c r="C17" s="12">
        <f>IF($B$6=0,"",B17/$B$6)</f>
      </c>
    </row>
    <row r="18">
      <c r="A18" s="4" t="inlineStr">
        <is>
          <t xml:space="preserve">Insurance</t>
        </is>
      </c>
      <c r="B18" s="11">
        <f>SUMIF(Expenses!C2:C500,A18,Expenses!D2:D500)</f>
      </c>
      <c r="C18" s="12">
        <f>IF($B$6=0,"",B18/$B$6)</f>
      </c>
    </row>
    <row r="19">
      <c r="A19" s="4" t="inlineStr">
        <is>
          <t xml:space="preserve">Vehicle/trailer</t>
        </is>
      </c>
      <c r="B19" s="11">
        <f>SUMIF(Expenses!C2:C500,A19,Expenses!D2:D500)</f>
      </c>
      <c r="C19" s="12">
        <f>IF($B$6=0,"",B19/$B$6)</f>
      </c>
    </row>
    <row r="20">
      <c r="A20" s="4" t="inlineStr">
        <is>
          <t xml:space="preserve">Licenses &amp; fees</t>
        </is>
      </c>
      <c r="B20" s="11">
        <f>SUMIF(Expenses!C2:C500,A20,Expenses!D2:D500)</f>
      </c>
      <c r="C20" s="12">
        <f>IF($B$6=0,"",B20/$B$6)</f>
      </c>
    </row>
    <row r="21">
      <c r="A21" s="4" t="inlineStr">
        <is>
          <t xml:space="preserve">Marketing</t>
        </is>
      </c>
      <c r="B21" s="11">
        <f>SUMIF(Expenses!C2:C500,A21,Expenses!D2:D500)</f>
      </c>
      <c r="C21" s="12">
        <f>IF($B$6=0,"",B21/$B$6)</f>
      </c>
    </row>
    <row r="22">
      <c r="A22" s="4" t="inlineStr">
        <is>
          <t xml:space="preserve">Software/apps</t>
        </is>
      </c>
      <c r="B22" s="11">
        <f>SUMIF(Expenses!C2:C500,A22,Expenses!D2:D500)</f>
      </c>
      <c r="C22" s="12">
        <f>IF($B$6=0,"",B22/$B$6)</f>
      </c>
    </row>
    <row r="23">
      <c r="A23" s="4" t="inlineStr">
        <is>
          <t xml:space="preserve">Supplies</t>
        </is>
      </c>
      <c r="B23" s="11">
        <f>SUMIF(Expenses!C2:C500,A23,Expenses!D2:D500)</f>
      </c>
      <c r="C23" s="12">
        <f>IF($B$6=0,"",B23/$B$6)</f>
      </c>
    </row>
    <row r="24">
      <c r="A24" s="4" t="inlineStr">
        <is>
          <t xml:space="preserve">Labor</t>
        </is>
      </c>
      <c r="B24" s="11">
        <f>SUMIF(Expenses!C2:C500,A24,Expenses!D2:D500)</f>
      </c>
      <c r="C24" s="12">
        <f>IF($B$6=0,"",B24/$B$6)</f>
      </c>
    </row>
    <row r="25">
      <c r="A25" s="4" t="inlineStr">
        <is>
          <t xml:space="preserve">Other</t>
        </is>
      </c>
      <c r="B25" s="11">
        <f>SUMIF(Expenses!C2:C500,A25,Expenses!D2:D500)</f>
      </c>
      <c r="C25" s="12">
        <f>IF($B$6=0,"",B25/$B$6)</f>
      </c>
    </row>
  </sheetData>
  <mergeCells count="2">
    <mergeCell ref="A1:C1"/>
    <mergeCell ref="A13:C13"/>
  </mergeCells>
</worksheet>
</file>