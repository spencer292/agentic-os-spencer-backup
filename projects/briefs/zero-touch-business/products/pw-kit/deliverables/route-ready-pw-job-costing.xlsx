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tart Here" sheetId="1" r:id="rId1"/>
    <sheet name="Job Log" sheetId="2" r:id="rId2"/>
    <sheet name="Cost Rates" sheetId="3" r:id="rId3"/>
  </sheets>
  <calcPr calcId="171027" fullCalcOnLoad="1"/>
</workbook>
</file>

<file path=xl/styles.xml><?xml version="1.0" encoding="utf-8"?>
<styleSheet xmlns="http://schemas.openxmlformats.org/spreadsheetml/2006/main">
  <numFmts count="5">
    <numFmt numFmtId="164" formatCode="&quot;$&quot;#,##0.00"/>
    <numFmt numFmtId="165" formatCode="0.00"/>
    <numFmt numFmtId="166" formatCode="mmm\ yyyy"/>
    <numFmt numFmtId="167" formatCode="mmm"/>
    <numFmt numFmtId="168" formatCode="yyyy\-mm\-dd"/>
  </numFmts>
  <fonts count="5">
    <font>
      <sz val="11"/>
      <name val="Calibri"/>
    </font>
    <font>
      <b/>
      <sz val="11"/>
      <name val="Calibri"/>
    </font>
    <font>
      <b/>
      <sz val="11"/>
      <color rgb="FFFFFFFF"/>
      <name val="Calibri"/>
    </font>
    <font>
      <i/>
      <sz val="10"/>
      <color rgb="FF666666"/>
      <name val="Calibri"/>
    </font>
    <font>
      <b/>
      <sz val="14"/>
      <name val="Calibri"/>
    </font>
  </fonts>
  <fills count="5">
    <fill>
      <patternFill patternType="none"/>
    </fill>
    <fill>
      <patternFill patternType="gray125"/>
    </fill>
    <fill>
      <patternFill patternType="solid">
        <fgColor rgb="FFFFF2CC"/>
        <bgColor indexed="64"/>
      </patternFill>
    </fill>
    <fill>
      <patternFill patternType="solid">
        <fgColor rgb="FFD9EAD3"/>
        <bgColor indexed="64"/>
      </patternFill>
    </fill>
    <fill>
      <patternFill patternType="solid">
        <fgColor rgb="FF1A7F4B"/>
        <bgColor indexed="64"/>
      </patternFill>
    </fill>
  </fills>
  <borders count="1">
    <border>
      <left/>
      <right/>
      <top/>
      <bottom/>
      <diagonal/>
    </border>
  </borders>
  <cellStyleXfs count="1">
    <xf numFmtId="0" fontId="0" fillId="0" borderId="0"/>
  </cellStyleXfs>
  <cellXfs count="18">
    <xf numFmtId="0" fontId="0" fillId="0" borderId="0" xfId="0" applyNumberFormat="1" applyFont="1" applyFill="1"/>
    <xf numFmtId="0" fontId="4" fillId="0" borderId="0" xfId="0" applyNumberFormat="1" applyFont="1" applyFill="1"/>
    <xf numFmtId="0" fontId="2" fillId="4" borderId="0" xfId="0" applyNumberFormat="1" applyFont="1" applyFill="1"/>
    <xf numFmtId="0" fontId="1" fillId="0" borderId="0" xfId="0" applyNumberFormat="1" applyFont="1" applyFill="1"/>
    <xf numFmtId="0" fontId="0" fillId="2" borderId="0" xfId="0" applyNumberFormat="1" applyFont="1" applyFill="1"/>
    <xf numFmtId="165" fontId="0" fillId="2" borderId="0" xfId="0" applyNumberFormat="1" applyFont="1" applyFill="1"/>
    <xf numFmtId="164" fontId="0" fillId="2" borderId="0" xfId="0" applyNumberFormat="1" applyFont="1" applyFill="1"/>
    <xf numFmtId="168" fontId="0" fillId="2" borderId="0" xfId="0" applyNumberFormat="1" applyFont="1" applyFill="1"/>
    <xf numFmtId="1" fontId="0" fillId="2" borderId="0" xfId="0" applyNumberFormat="1" applyFont="1" applyFill="1"/>
    <xf numFmtId="0" fontId="0" fillId="3" borderId="0" xfId="0" applyNumberFormat="1" applyFont="1" applyFill="1"/>
    <xf numFmtId="165" fontId="0" fillId="3" borderId="0" xfId="0" applyNumberFormat="1" applyFont="1" applyFill="1"/>
    <xf numFmtId="164" fontId="0" fillId="3" borderId="0" xfId="0" applyNumberFormat="1" applyFont="1" applyFill="1"/>
    <xf numFmtId="9" fontId="0" fillId="3" borderId="0" xfId="0" applyNumberFormat="1" applyFont="1" applyFill="1"/>
    <xf numFmtId="166" fontId="0" fillId="3" borderId="0" xfId="0" applyNumberFormat="1" applyFont="1" applyFill="1"/>
    <xf numFmtId="0" fontId="3" fillId="0" borderId="0" xfId="0" applyNumberFormat="1" applyFont="1" applyFill="1" applyAlignment="1">
      <alignment wrapText="1"/>
    </xf>
    <xf numFmtId="0" fontId="0" fillId="0" borderId="0" xfId="0" applyNumberFormat="1" applyFont="1" applyFill="1" applyAlignment="1">
      <alignment wrapText="1" vertical="top"/>
    </xf>
    <xf numFmtId="167" fontId="2" fillId="4" borderId="0" xfId="0" applyNumberFormat="1" applyFont="1" applyFill="1"/>
    <xf numFmtId="0" fontId="0" fillId="3" borderId="0" xfId="0" applyNumberFormat="1" applyFont="1" applyFill="1" applyAlignment="1">
      <alignment wrapText="1"/>
    </xf>
  </cellXfs>
  <cellStyles count="1">
    <cellStyle name="Normal" xfId="0" builtinId="0"/>
  </cellStyles>
  <dxfs count="4">
    <dxf>
      <font>
        <color rgb="FF006100"/>
      </font>
      <fill>
        <patternFill>
          <bgColor rgb="FFC6EFCE"/>
        </patternFill>
      </fill>
    </dxf>
    <dxf>
      <font>
        <b/>
        <color rgb="FF9C0006"/>
      </font>
      <fill>
        <patternFill>
          <bgColor rgb="FFFFC7CE"/>
        </patternFill>
      </fill>
    </dxf>
    <dxf>
      <font>
        <color rgb="FF9C6500"/>
      </font>
      <fill>
        <patternFill>
          <bgColor rgb="FFFFEB9C"/>
        </patternFill>
      </fill>
    </dxf>
    <dxf>
      <font>
        <color rgb="FFFF0000"/>
      </font>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8" customWidth="1"/>
    <col min="2" max="2" width="18" customWidth="1"/>
    <col min="3" max="3" width="18" customWidth="1"/>
    <col min="4" max="4" width="18" customWidth="1"/>
    <col min="5" max="5" width="18" customWidth="1"/>
    <col min="6" max="6" width="18" customWidth="1"/>
  </cols>
  <sheetData>
    <row r="1">
      <c r="A1" s="15" t="inlineStr">
        <is>
          <t xml:space="preserve">Job Costing — how to use
Quoting is a guess. Job costing is the truth. After a job is done, put the ACTUAL numbers in here and find out what you really made.
Do this on every job for your first season. The pattern that shows up will surprise you — usually that one service type you enjoy is quietly your worst earner, and the boring one pays the bills.
Chemical cost is the number washers guess at. Work out your real cost per mixed gallon once, put it in Cost Rates, and let the sheet do it from there.
Convention: yellow cells = inputs (type here), green cells = outputs (never type here).</t>
        </is>
      </c>
    </row>
  </sheetData>
  <mergeCells count="1">
    <mergeCell ref="A1:F14"/>
  </mergeCells>
</worksheet>
</file>

<file path=xl/worksheets/sheet2.xml><?xml version="1.0" encoding="utf-8"?>
<worksheet xmlns="http://schemas.openxmlformats.org/spreadsheetml/2006/main">
  <sheetViews>
    <sheetView workbookViewId="0">
      <pane ySplit="1" topLeftCell="A2" activePane="bottomLeft" state="frozen"/>
      <selection pane="bottomLeft" activeCell="A2" sqref="A2"/>
    </sheetView>
  </sheetViews>
  <cols>
    <col min="1" max="1" width="12" customWidth="1"/>
    <col min="2" max="2" width="20" customWidth="1"/>
    <col min="3" max="3" width="20" customWidth="1"/>
    <col min="4" max="4" width="12" customWidth="1"/>
    <col min="5" max="5" width="12" customWidth="1"/>
    <col min="6" max="6" width="10" customWidth="1"/>
    <col min="7" max="7" width="13" customWidth="1"/>
    <col min="8" max="8" width="13" customWidth="1"/>
    <col min="9" max="9" width="10" customWidth="1"/>
    <col min="10" max="10" width="13" customWidth="1"/>
    <col min="11" max="11" width="13" customWidth="1"/>
    <col min="12" max="12" width="12" customWidth="1"/>
    <col min="13" max="13" width="10" customWidth="1"/>
    <col min="14" max="14" width="11" customWidth="1"/>
  </cols>
  <sheetData>
    <row r="1">
      <c r="A1" s="2" t="inlineStr">
        <is>
          <t xml:space="preserve">Date</t>
        </is>
      </c>
      <c r="B1" s="2" t="inlineStr">
        <is>
          <t xml:space="preserve">Customer</t>
        </is>
      </c>
      <c r="C1" s="2" t="inlineStr">
        <is>
          <t xml:space="preserve">Service</t>
        </is>
      </c>
      <c r="D1" s="2" t="inlineStr">
        <is>
          <t xml:space="preserve">Quoted ($)</t>
        </is>
      </c>
      <c r="E1" s="2" t="inlineStr">
        <is>
          <t xml:space="preserve">Actual Hours</t>
        </is>
      </c>
      <c r="F1" s="2" t="inlineStr">
        <is>
          <t xml:space="preserve">Drive Hrs</t>
        </is>
      </c>
      <c r="G1" s="2" t="inlineStr">
        <is>
          <t xml:space="preserve">Chem Gallons</t>
        </is>
      </c>
      <c r="H1" s="2" t="inlineStr">
        <is>
          <t xml:space="preserve">Chem Cost ($)</t>
        </is>
      </c>
      <c r="I1" s="2" t="inlineStr">
        <is>
          <t xml:space="preserve">Fuel ($)</t>
        </is>
      </c>
      <c r="J1" s="2" t="inlineStr">
        <is>
          <t xml:space="preserve">Labor Cost ($)</t>
        </is>
      </c>
      <c r="K1" s="2" t="inlineStr">
        <is>
          <t xml:space="preserve">Total Cost ($)</t>
        </is>
      </c>
      <c r="L1" s="2" t="inlineStr">
        <is>
          <t xml:space="preserve">Profit ($)</t>
        </is>
      </c>
      <c r="M1" s="2" t="inlineStr">
        <is>
          <t xml:space="preserve">Margin</t>
        </is>
      </c>
      <c r="N1" s="2" t="inlineStr">
        <is>
          <t xml:space="preserve">True $/hr</t>
        </is>
      </c>
    </row>
    <row r="2">
      <c r="A2" s="7">
        <v>46209</v>
      </c>
      <c r="B2" s="4" t="inlineStr">
        <is>
          <t xml:space="preserve">Alvarez, R.</t>
        </is>
      </c>
      <c r="C2" s="4" t="inlineStr">
        <is>
          <t xml:space="preserve">House Wash</t>
        </is>
      </c>
      <c r="D2" s="6">
        <v>350</v>
      </c>
      <c r="E2" s="5">
        <v>3.5</v>
      </c>
      <c r="F2" s="5">
        <v>0.5</v>
      </c>
      <c r="G2" s="5">
        <v>12</v>
      </c>
      <c r="H2" s="11">
        <f>IF(G2="","",ROUND(G2*'Cost Rates'!$B$3,2))</f>
      </c>
      <c r="I2" s="6">
        <v>14</v>
      </c>
      <c r="J2" s="11">
        <f>IF(E2="","",ROUND((E2+F2)*'Cost Rates'!$B$4,2))</f>
      </c>
      <c r="K2" s="11">
        <f>IF(D2="","",SUM(H2,I2,J2)+'Cost Rates'!$B$5)</f>
      </c>
      <c r="L2" s="11">
        <f>IF(D2="","",D2-K2)</f>
      </c>
      <c r="M2" s="12">
        <f>IF(OR(D2="",D2=0),"",L2/D2)</f>
      </c>
      <c r="N2" s="11">
        <f>IF((E2+F2)=0,"",ROUND(L2/(E2+F2),2))</f>
      </c>
    </row>
    <row r="3">
      <c r="A3" s="7">
        <v>46211</v>
      </c>
      <c r="B3" s="4" t="inlineStr">
        <is>
          <t xml:space="preserve">Nguyen, T.</t>
        </is>
      </c>
      <c r="C3" s="4" t="inlineStr">
        <is>
          <t xml:space="preserve">Driveway</t>
        </is>
      </c>
      <c r="D3" s="6">
        <v>225</v>
      </c>
      <c r="E3" s="5">
        <v>2.0</v>
      </c>
      <c r="F3" s="5">
        <v>0.4</v>
      </c>
      <c r="G3" s="5">
        <v>4</v>
      </c>
      <c r="H3" s="11">
        <f>IF(G3="","",ROUND(G3*'Cost Rates'!$B$3,2))</f>
      </c>
      <c r="I3" s="6">
        <v>11</v>
      </c>
      <c r="J3" s="11">
        <f>IF(E3="","",ROUND((E3+F3)*'Cost Rates'!$B$4,2))</f>
      </c>
      <c r="K3" s="11">
        <f>IF(D3="","",SUM(H3,I3,J3)+'Cost Rates'!$B$5)</f>
      </c>
      <c r="L3" s="11">
        <f>IF(D3="","",D3-K3)</f>
      </c>
      <c r="M3" s="12">
        <f>IF(OR(D3="",D3=0),"",L3/D3)</f>
      </c>
      <c r="N3" s="11">
        <f>IF((E3+F3)=0,"",ROUND(L3/(E3+F3),2))</f>
      </c>
    </row>
    <row r="4">
      <c r="H4" s="11">
        <f>IF(G4="","",ROUND(G4*'Cost Rates'!$B$3,2))</f>
      </c>
      <c r="J4" s="11">
        <f>IF(E4="","",ROUND((E4+F4)*'Cost Rates'!$B$4,2))</f>
      </c>
      <c r="K4" s="11">
        <f>IF(D4="","",SUM(H4,I4,J4)+'Cost Rates'!$B$5)</f>
      </c>
      <c r="L4" s="11">
        <f>IF(D4="","",D4-K4)</f>
      </c>
      <c r="M4" s="12">
        <f>IF(OR(D4="",D4=0),"",L4/D4)</f>
      </c>
      <c r="N4" s="11">
        <f>IF((E4+F4)=0,"",ROUND(L4/(E4+F4),2))</f>
      </c>
    </row>
    <row r="5">
      <c r="H5" s="11">
        <f>IF(G5="","",ROUND(G5*'Cost Rates'!$B$3,2))</f>
      </c>
      <c r="J5" s="11">
        <f>IF(E5="","",ROUND((E5+F5)*'Cost Rates'!$B$4,2))</f>
      </c>
      <c r="K5" s="11">
        <f>IF(D5="","",SUM(H5,I5,J5)+'Cost Rates'!$B$5)</f>
      </c>
      <c r="L5" s="11">
        <f>IF(D5="","",D5-K5)</f>
      </c>
      <c r="M5" s="12">
        <f>IF(OR(D5="",D5=0),"",L5/D5)</f>
      </c>
      <c r="N5" s="11">
        <f>IF((E5+F5)=0,"",ROUND(L5/(E5+F5),2))</f>
      </c>
    </row>
    <row r="6">
      <c r="H6" s="11">
        <f>IF(G6="","",ROUND(G6*'Cost Rates'!$B$3,2))</f>
      </c>
      <c r="J6" s="11">
        <f>IF(E6="","",ROUND((E6+F6)*'Cost Rates'!$B$4,2))</f>
      </c>
      <c r="K6" s="11">
        <f>IF(D6="","",SUM(H6,I6,J6)+'Cost Rates'!$B$5)</f>
      </c>
      <c r="L6" s="11">
        <f>IF(D6="","",D6-K6)</f>
      </c>
      <c r="M6" s="12">
        <f>IF(OR(D6="",D6=0),"",L6/D6)</f>
      </c>
      <c r="N6" s="11">
        <f>IF((E6+F6)=0,"",ROUND(L6/(E6+F6),2))</f>
      </c>
    </row>
    <row r="7">
      <c r="H7" s="11">
        <f>IF(G7="","",ROUND(G7*'Cost Rates'!$B$3,2))</f>
      </c>
      <c r="J7" s="11">
        <f>IF(E7="","",ROUND((E7+F7)*'Cost Rates'!$B$4,2))</f>
      </c>
      <c r="K7" s="11">
        <f>IF(D7="","",SUM(H7,I7,J7)+'Cost Rates'!$B$5)</f>
      </c>
      <c r="L7" s="11">
        <f>IF(D7="","",D7-K7)</f>
      </c>
      <c r="M7" s="12">
        <f>IF(OR(D7="",D7=0),"",L7/D7)</f>
      </c>
      <c r="N7" s="11">
        <f>IF((E7+F7)=0,"",ROUND(L7/(E7+F7),2))</f>
      </c>
    </row>
    <row r="8">
      <c r="H8" s="11">
        <f>IF(G8="","",ROUND(G8*'Cost Rates'!$B$3,2))</f>
      </c>
      <c r="J8" s="11">
        <f>IF(E8="","",ROUND((E8+F8)*'Cost Rates'!$B$4,2))</f>
      </c>
      <c r="K8" s="11">
        <f>IF(D8="","",SUM(H8,I8,J8)+'Cost Rates'!$B$5)</f>
      </c>
      <c r="L8" s="11">
        <f>IF(D8="","",D8-K8)</f>
      </c>
      <c r="M8" s="12">
        <f>IF(OR(D8="",D8=0),"",L8/D8)</f>
      </c>
      <c r="N8" s="11">
        <f>IF((E8+F8)=0,"",ROUND(L8/(E8+F8),2))</f>
      </c>
    </row>
    <row r="9">
      <c r="H9" s="11">
        <f>IF(G9="","",ROUND(G9*'Cost Rates'!$B$3,2))</f>
      </c>
      <c r="J9" s="11">
        <f>IF(E9="","",ROUND((E9+F9)*'Cost Rates'!$B$4,2))</f>
      </c>
      <c r="K9" s="11">
        <f>IF(D9="","",SUM(H9,I9,J9)+'Cost Rates'!$B$5)</f>
      </c>
      <c r="L9" s="11">
        <f>IF(D9="","",D9-K9)</f>
      </c>
      <c r="M9" s="12">
        <f>IF(OR(D9="",D9=0),"",L9/D9)</f>
      </c>
      <c r="N9" s="11">
        <f>IF((E9+F9)=0,"",ROUND(L9/(E9+F9),2))</f>
      </c>
    </row>
    <row r="10">
      <c r="H10" s="11">
        <f>IF(G10="","",ROUND(G10*'Cost Rates'!$B$3,2))</f>
      </c>
      <c r="J10" s="11">
        <f>IF(E10="","",ROUND((E10+F10)*'Cost Rates'!$B$4,2))</f>
      </c>
      <c r="K10" s="11">
        <f>IF(D10="","",SUM(H10,I10,J10)+'Cost Rates'!$B$5)</f>
      </c>
      <c r="L10" s="11">
        <f>IF(D10="","",D10-K10)</f>
      </c>
      <c r="M10" s="12">
        <f>IF(OR(D10="",D10=0),"",L10/D10)</f>
      </c>
      <c r="N10" s="11">
        <f>IF((E10+F10)=0,"",ROUND(L10/(E10+F10),2))</f>
      </c>
    </row>
    <row r="11">
      <c r="H11" s="11">
        <f>IF(G11="","",ROUND(G11*'Cost Rates'!$B$3,2))</f>
      </c>
      <c r="J11" s="11">
        <f>IF(E11="","",ROUND((E11+F11)*'Cost Rates'!$B$4,2))</f>
      </c>
      <c r="K11" s="11">
        <f>IF(D11="","",SUM(H11,I11,J11)+'Cost Rates'!$B$5)</f>
      </c>
      <c r="L11" s="11">
        <f>IF(D11="","",D11-K11)</f>
      </c>
      <c r="M11" s="12">
        <f>IF(OR(D11="",D11=0),"",L11/D11)</f>
      </c>
      <c r="N11" s="11">
        <f>IF((E11+F11)=0,"",ROUND(L11/(E11+F11),2))</f>
      </c>
    </row>
    <row r="12">
      <c r="H12" s="11">
        <f>IF(G12="","",ROUND(G12*'Cost Rates'!$B$3,2))</f>
      </c>
      <c r="J12" s="11">
        <f>IF(E12="","",ROUND((E12+F12)*'Cost Rates'!$B$4,2))</f>
      </c>
      <c r="K12" s="11">
        <f>IF(D12="","",SUM(H12,I12,J12)+'Cost Rates'!$B$5)</f>
      </c>
      <c r="L12" s="11">
        <f>IF(D12="","",D12-K12)</f>
      </c>
      <c r="M12" s="12">
        <f>IF(OR(D12="",D12=0),"",L12/D12)</f>
      </c>
      <c r="N12" s="11">
        <f>IF((E12+F12)=0,"",ROUND(L12/(E12+F12),2))</f>
      </c>
    </row>
    <row r="13">
      <c r="H13" s="11">
        <f>IF(G13="","",ROUND(G13*'Cost Rates'!$B$3,2))</f>
      </c>
      <c r="J13" s="11">
        <f>IF(E13="","",ROUND((E13+F13)*'Cost Rates'!$B$4,2))</f>
      </c>
      <c r="K13" s="11">
        <f>IF(D13="","",SUM(H13,I13,J13)+'Cost Rates'!$B$5)</f>
      </c>
      <c r="L13" s="11">
        <f>IF(D13="","",D13-K13)</f>
      </c>
      <c r="M13" s="12">
        <f>IF(OR(D13="",D13=0),"",L13/D13)</f>
      </c>
      <c r="N13" s="11">
        <f>IF((E13+F13)=0,"",ROUND(L13/(E13+F13),2))</f>
      </c>
    </row>
    <row r="14">
      <c r="H14" s="11">
        <f>IF(G14="","",ROUND(G14*'Cost Rates'!$B$3,2))</f>
      </c>
      <c r="J14" s="11">
        <f>IF(E14="","",ROUND((E14+F14)*'Cost Rates'!$B$4,2))</f>
      </c>
      <c r="K14" s="11">
        <f>IF(D14="","",SUM(H14,I14,J14)+'Cost Rates'!$B$5)</f>
      </c>
      <c r="L14" s="11">
        <f>IF(D14="","",D14-K14)</f>
      </c>
      <c r="M14" s="12">
        <f>IF(OR(D14="",D14=0),"",L14/D14)</f>
      </c>
      <c r="N14" s="11">
        <f>IF((E14+F14)=0,"",ROUND(L14/(E14+F14),2))</f>
      </c>
    </row>
    <row r="15">
      <c r="H15" s="11">
        <f>IF(G15="","",ROUND(G15*'Cost Rates'!$B$3,2))</f>
      </c>
      <c r="J15" s="11">
        <f>IF(E15="","",ROUND((E15+F15)*'Cost Rates'!$B$4,2))</f>
      </c>
      <c r="K15" s="11">
        <f>IF(D15="","",SUM(H15,I15,J15)+'Cost Rates'!$B$5)</f>
      </c>
      <c r="L15" s="11">
        <f>IF(D15="","",D15-K15)</f>
      </c>
      <c r="M15" s="12">
        <f>IF(OR(D15="",D15=0),"",L15/D15)</f>
      </c>
      <c r="N15" s="11">
        <f>IF((E15+F15)=0,"",ROUND(L15/(E15+F15),2))</f>
      </c>
    </row>
    <row r="16">
      <c r="H16" s="11">
        <f>IF(G16="","",ROUND(G16*'Cost Rates'!$B$3,2))</f>
      </c>
      <c r="J16" s="11">
        <f>IF(E16="","",ROUND((E16+F16)*'Cost Rates'!$B$4,2))</f>
      </c>
      <c r="K16" s="11">
        <f>IF(D16="","",SUM(H16,I16,J16)+'Cost Rates'!$B$5)</f>
      </c>
      <c r="L16" s="11">
        <f>IF(D16="","",D16-K16)</f>
      </c>
      <c r="M16" s="12">
        <f>IF(OR(D16="",D16=0),"",L16/D16)</f>
      </c>
      <c r="N16" s="11">
        <f>IF((E16+F16)=0,"",ROUND(L16/(E16+F16),2))</f>
      </c>
    </row>
    <row r="17">
      <c r="H17" s="11">
        <f>IF(G17="","",ROUND(G17*'Cost Rates'!$B$3,2))</f>
      </c>
      <c r="J17" s="11">
        <f>IF(E17="","",ROUND((E17+F17)*'Cost Rates'!$B$4,2))</f>
      </c>
      <c r="K17" s="11">
        <f>IF(D17="","",SUM(H17,I17,J17)+'Cost Rates'!$B$5)</f>
      </c>
      <c r="L17" s="11">
        <f>IF(D17="","",D17-K17)</f>
      </c>
      <c r="M17" s="12">
        <f>IF(OR(D17="",D17=0),"",L17/D17)</f>
      </c>
      <c r="N17" s="11">
        <f>IF((E17+F17)=0,"",ROUND(L17/(E17+F17),2))</f>
      </c>
    </row>
    <row r="18">
      <c r="H18" s="11">
        <f>IF(G18="","",ROUND(G18*'Cost Rates'!$B$3,2))</f>
      </c>
      <c r="J18" s="11">
        <f>IF(E18="","",ROUND((E18+F18)*'Cost Rates'!$B$4,2))</f>
      </c>
      <c r="K18" s="11">
        <f>IF(D18="","",SUM(H18,I18,J18)+'Cost Rates'!$B$5)</f>
      </c>
      <c r="L18" s="11">
        <f>IF(D18="","",D18-K18)</f>
      </c>
      <c r="M18" s="12">
        <f>IF(OR(D18="",D18=0),"",L18/D18)</f>
      </c>
      <c r="N18" s="11">
        <f>IF((E18+F18)=0,"",ROUND(L18/(E18+F18),2))</f>
      </c>
    </row>
    <row r="19">
      <c r="H19" s="11">
        <f>IF(G19="","",ROUND(G19*'Cost Rates'!$B$3,2))</f>
      </c>
      <c r="J19" s="11">
        <f>IF(E19="","",ROUND((E19+F19)*'Cost Rates'!$B$4,2))</f>
      </c>
      <c r="K19" s="11">
        <f>IF(D19="","",SUM(H19,I19,J19)+'Cost Rates'!$B$5)</f>
      </c>
      <c r="L19" s="11">
        <f>IF(D19="","",D19-K19)</f>
      </c>
      <c r="M19" s="12">
        <f>IF(OR(D19="",D19=0),"",L19/D19)</f>
      </c>
      <c r="N19" s="11">
        <f>IF((E19+F19)=0,"",ROUND(L19/(E19+F19),2))</f>
      </c>
    </row>
    <row r="20">
      <c r="H20" s="11">
        <f>IF(G20="","",ROUND(G20*'Cost Rates'!$B$3,2))</f>
      </c>
      <c r="J20" s="11">
        <f>IF(E20="","",ROUND((E20+F20)*'Cost Rates'!$B$4,2))</f>
      </c>
      <c r="K20" s="11">
        <f>IF(D20="","",SUM(H20,I20,J20)+'Cost Rates'!$B$5)</f>
      </c>
      <c r="L20" s="11">
        <f>IF(D20="","",D20-K20)</f>
      </c>
      <c r="M20" s="12">
        <f>IF(OR(D20="",D20=0),"",L20/D20)</f>
      </c>
      <c r="N20" s="11">
        <f>IF((E20+F20)=0,"",ROUND(L20/(E20+F20),2))</f>
      </c>
    </row>
    <row r="21">
      <c r="H21" s="11">
        <f>IF(G21="","",ROUND(G21*'Cost Rates'!$B$3,2))</f>
      </c>
      <c r="J21" s="11">
        <f>IF(E21="","",ROUND((E21+F21)*'Cost Rates'!$B$4,2))</f>
      </c>
      <c r="K21" s="11">
        <f>IF(D21="","",SUM(H21,I21,J21)+'Cost Rates'!$B$5)</f>
      </c>
      <c r="L21" s="11">
        <f>IF(D21="","",D21-K21)</f>
      </c>
      <c r="M21" s="12">
        <f>IF(OR(D21="",D21=0),"",L21/D21)</f>
      </c>
      <c r="N21" s="11">
        <f>IF((E21+F21)=0,"",ROUND(L21/(E21+F21),2))</f>
      </c>
    </row>
    <row r="22">
      <c r="H22" s="11">
        <f>IF(G22="","",ROUND(G22*'Cost Rates'!$B$3,2))</f>
      </c>
      <c r="J22" s="11">
        <f>IF(E22="","",ROUND((E22+F22)*'Cost Rates'!$B$4,2))</f>
      </c>
      <c r="K22" s="11">
        <f>IF(D22="","",SUM(H22,I22,J22)+'Cost Rates'!$B$5)</f>
      </c>
      <c r="L22" s="11">
        <f>IF(D22="","",D22-K22)</f>
      </c>
      <c r="M22" s="12">
        <f>IF(OR(D22="",D22=0),"",L22/D22)</f>
      </c>
      <c r="N22" s="11">
        <f>IF((E22+F22)=0,"",ROUND(L22/(E22+F22),2))</f>
      </c>
    </row>
    <row r="23">
      <c r="H23" s="11">
        <f>IF(G23="","",ROUND(G23*'Cost Rates'!$B$3,2))</f>
      </c>
      <c r="J23" s="11">
        <f>IF(E23="","",ROUND((E23+F23)*'Cost Rates'!$B$4,2))</f>
      </c>
      <c r="K23" s="11">
        <f>IF(D23="","",SUM(H23,I23,J23)+'Cost Rates'!$B$5)</f>
      </c>
      <c r="L23" s="11">
        <f>IF(D23="","",D23-K23)</f>
      </c>
      <c r="M23" s="12">
        <f>IF(OR(D23="",D23=0),"",L23/D23)</f>
      </c>
      <c r="N23" s="11">
        <f>IF((E23+F23)=0,"",ROUND(L23/(E23+F23),2))</f>
      </c>
    </row>
    <row r="24">
      <c r="H24" s="11">
        <f>IF(G24="","",ROUND(G24*'Cost Rates'!$B$3,2))</f>
      </c>
      <c r="J24" s="11">
        <f>IF(E24="","",ROUND((E24+F24)*'Cost Rates'!$B$4,2))</f>
      </c>
      <c r="K24" s="11">
        <f>IF(D24="","",SUM(H24,I24,J24)+'Cost Rates'!$B$5)</f>
      </c>
      <c r="L24" s="11">
        <f>IF(D24="","",D24-K24)</f>
      </c>
      <c r="M24" s="12">
        <f>IF(OR(D24="",D24=0),"",L24/D24)</f>
      </c>
      <c r="N24" s="11">
        <f>IF((E24+F24)=0,"",ROUND(L24/(E24+F24),2))</f>
      </c>
    </row>
    <row r="25">
      <c r="H25" s="11">
        <f>IF(G25="","",ROUND(G25*'Cost Rates'!$B$3,2))</f>
      </c>
      <c r="J25" s="11">
        <f>IF(E25="","",ROUND((E25+F25)*'Cost Rates'!$B$4,2))</f>
      </c>
      <c r="K25" s="11">
        <f>IF(D25="","",SUM(H25,I25,J25)+'Cost Rates'!$B$5)</f>
      </c>
      <c r="L25" s="11">
        <f>IF(D25="","",D25-K25)</f>
      </c>
      <c r="M25" s="12">
        <f>IF(OR(D25="",D25=0),"",L25/D25)</f>
      </c>
      <c r="N25" s="11">
        <f>IF((E25+F25)=0,"",ROUND(L25/(E25+F25),2))</f>
      </c>
    </row>
    <row r="26">
      <c r="H26" s="11">
        <f>IF(G26="","",ROUND(G26*'Cost Rates'!$B$3,2))</f>
      </c>
      <c r="J26" s="11">
        <f>IF(E26="","",ROUND((E26+F26)*'Cost Rates'!$B$4,2))</f>
      </c>
      <c r="K26" s="11">
        <f>IF(D26="","",SUM(H26,I26,J26)+'Cost Rates'!$B$5)</f>
      </c>
      <c r="L26" s="11">
        <f>IF(D26="","",D26-K26)</f>
      </c>
      <c r="M26" s="12">
        <f>IF(OR(D26="",D26=0),"",L26/D26)</f>
      </c>
      <c r="N26" s="11">
        <f>IF((E26+F26)=0,"",ROUND(L26/(E26+F26),2))</f>
      </c>
    </row>
    <row r="27">
      <c r="H27" s="11">
        <f>IF(G27="","",ROUND(G27*'Cost Rates'!$B$3,2))</f>
      </c>
      <c r="J27" s="11">
        <f>IF(E27="","",ROUND((E27+F27)*'Cost Rates'!$B$4,2))</f>
      </c>
      <c r="K27" s="11">
        <f>IF(D27="","",SUM(H27,I27,J27)+'Cost Rates'!$B$5)</f>
      </c>
      <c r="L27" s="11">
        <f>IF(D27="","",D27-K27)</f>
      </c>
      <c r="M27" s="12">
        <f>IF(OR(D27="",D27=0),"",L27/D27)</f>
      </c>
      <c r="N27" s="11">
        <f>IF((E27+F27)=0,"",ROUND(L27/(E27+F27),2))</f>
      </c>
    </row>
    <row r="28">
      <c r="H28" s="11">
        <f>IF(G28="","",ROUND(G28*'Cost Rates'!$B$3,2))</f>
      </c>
      <c r="J28" s="11">
        <f>IF(E28="","",ROUND((E28+F28)*'Cost Rates'!$B$4,2))</f>
      </c>
      <c r="K28" s="11">
        <f>IF(D28="","",SUM(H28,I28,J28)+'Cost Rates'!$B$5)</f>
      </c>
      <c r="L28" s="11">
        <f>IF(D28="","",D28-K28)</f>
      </c>
      <c r="M28" s="12">
        <f>IF(OR(D28="",D28=0),"",L28/D28)</f>
      </c>
      <c r="N28" s="11">
        <f>IF((E28+F28)=0,"",ROUND(L28/(E28+F28),2))</f>
      </c>
    </row>
    <row r="29">
      <c r="H29" s="11">
        <f>IF(G29="","",ROUND(G29*'Cost Rates'!$B$3,2))</f>
      </c>
      <c r="J29" s="11">
        <f>IF(E29="","",ROUND((E29+F29)*'Cost Rates'!$B$4,2))</f>
      </c>
      <c r="K29" s="11">
        <f>IF(D29="","",SUM(H29,I29,J29)+'Cost Rates'!$B$5)</f>
      </c>
      <c r="L29" s="11">
        <f>IF(D29="","",D29-K29)</f>
      </c>
      <c r="M29" s="12">
        <f>IF(OR(D29="",D29=0),"",L29/D29)</f>
      </c>
      <c r="N29" s="11">
        <f>IF((E29+F29)=0,"",ROUND(L29/(E29+F29),2))</f>
      </c>
    </row>
    <row r="30">
      <c r="H30" s="11">
        <f>IF(G30="","",ROUND(G30*'Cost Rates'!$B$3,2))</f>
      </c>
      <c r="J30" s="11">
        <f>IF(E30="","",ROUND((E30+F30)*'Cost Rates'!$B$4,2))</f>
      </c>
      <c r="K30" s="11">
        <f>IF(D30="","",SUM(H30,I30,J30)+'Cost Rates'!$B$5)</f>
      </c>
      <c r="L30" s="11">
        <f>IF(D30="","",D30-K30)</f>
      </c>
      <c r="M30" s="12">
        <f>IF(OR(D30="",D30=0),"",L30/D30)</f>
      </c>
      <c r="N30" s="11">
        <f>IF((E30+F30)=0,"",ROUND(L30/(E30+F30),2))</f>
      </c>
    </row>
    <row r="31">
      <c r="H31" s="11">
        <f>IF(G31="","",ROUND(G31*'Cost Rates'!$B$3,2))</f>
      </c>
      <c r="J31" s="11">
        <f>IF(E31="","",ROUND((E31+F31)*'Cost Rates'!$B$4,2))</f>
      </c>
      <c r="K31" s="11">
        <f>IF(D31="","",SUM(H31,I31,J31)+'Cost Rates'!$B$5)</f>
      </c>
      <c r="L31" s="11">
        <f>IF(D31="","",D31-K31)</f>
      </c>
      <c r="M31" s="12">
        <f>IF(OR(D31="",D31=0),"",L31/D31)</f>
      </c>
      <c r="N31" s="11">
        <f>IF((E31+F31)=0,"",ROUND(L31/(E31+F31),2))</f>
      </c>
    </row>
    <row r="32">
      <c r="H32" s="11">
        <f>IF(G32="","",ROUND(G32*'Cost Rates'!$B$3,2))</f>
      </c>
      <c r="J32" s="11">
        <f>IF(E32="","",ROUND((E32+F32)*'Cost Rates'!$B$4,2))</f>
      </c>
      <c r="K32" s="11">
        <f>IF(D32="","",SUM(H32,I32,J32)+'Cost Rates'!$B$5)</f>
      </c>
      <c r="L32" s="11">
        <f>IF(D32="","",D32-K32)</f>
      </c>
      <c r="M32" s="12">
        <f>IF(OR(D32="",D32=0),"",L32/D32)</f>
      </c>
      <c r="N32" s="11">
        <f>IF((E32+F32)=0,"",ROUND(L32/(E32+F32),2))</f>
      </c>
    </row>
    <row r="33">
      <c r="H33" s="11">
        <f>IF(G33="","",ROUND(G33*'Cost Rates'!$B$3,2))</f>
      </c>
      <c r="J33" s="11">
        <f>IF(E33="","",ROUND((E33+F33)*'Cost Rates'!$B$4,2))</f>
      </c>
      <c r="K33" s="11">
        <f>IF(D33="","",SUM(H33,I33,J33)+'Cost Rates'!$B$5)</f>
      </c>
      <c r="L33" s="11">
        <f>IF(D33="","",D33-K33)</f>
      </c>
      <c r="M33" s="12">
        <f>IF(OR(D33="",D33=0),"",L33/D33)</f>
      </c>
      <c r="N33" s="11">
        <f>IF((E33+F33)=0,"",ROUND(L33/(E33+F33),2))</f>
      </c>
    </row>
    <row r="34">
      <c r="H34" s="11">
        <f>IF(G34="","",ROUND(G34*'Cost Rates'!$B$3,2))</f>
      </c>
      <c r="J34" s="11">
        <f>IF(E34="","",ROUND((E34+F34)*'Cost Rates'!$B$4,2))</f>
      </c>
      <c r="K34" s="11">
        <f>IF(D34="","",SUM(H34,I34,J34)+'Cost Rates'!$B$5)</f>
      </c>
      <c r="L34" s="11">
        <f>IF(D34="","",D34-K34)</f>
      </c>
      <c r="M34" s="12">
        <f>IF(OR(D34="",D34=0),"",L34/D34)</f>
      </c>
      <c r="N34" s="11">
        <f>IF((E34+F34)=0,"",ROUND(L34/(E34+F34),2))</f>
      </c>
    </row>
    <row r="35">
      <c r="H35" s="11">
        <f>IF(G35="","",ROUND(G35*'Cost Rates'!$B$3,2))</f>
      </c>
      <c r="J35" s="11">
        <f>IF(E35="","",ROUND((E35+F35)*'Cost Rates'!$B$4,2))</f>
      </c>
      <c r="K35" s="11">
        <f>IF(D35="","",SUM(H35,I35,J35)+'Cost Rates'!$B$5)</f>
      </c>
      <c r="L35" s="11">
        <f>IF(D35="","",D35-K35)</f>
      </c>
      <c r="M35" s="12">
        <f>IF(OR(D35="",D35=0),"",L35/D35)</f>
      </c>
      <c r="N35" s="11">
        <f>IF((E35+F35)=0,"",ROUND(L35/(E35+F35),2))</f>
      </c>
    </row>
    <row r="36">
      <c r="H36" s="11">
        <f>IF(G36="","",ROUND(G36*'Cost Rates'!$B$3,2))</f>
      </c>
      <c r="J36" s="11">
        <f>IF(E36="","",ROUND((E36+F36)*'Cost Rates'!$B$4,2))</f>
      </c>
      <c r="K36" s="11">
        <f>IF(D36="","",SUM(H36,I36,J36)+'Cost Rates'!$B$5)</f>
      </c>
      <c r="L36" s="11">
        <f>IF(D36="","",D36-K36)</f>
      </c>
      <c r="M36" s="12">
        <f>IF(OR(D36="",D36=0),"",L36/D36)</f>
      </c>
      <c r="N36" s="11">
        <f>IF((E36+F36)=0,"",ROUND(L36/(E36+F36),2))</f>
      </c>
    </row>
    <row r="37">
      <c r="H37" s="11">
        <f>IF(G37="","",ROUND(G37*'Cost Rates'!$B$3,2))</f>
      </c>
      <c r="J37" s="11">
        <f>IF(E37="","",ROUND((E37+F37)*'Cost Rates'!$B$4,2))</f>
      </c>
      <c r="K37" s="11">
        <f>IF(D37="","",SUM(H37,I37,J37)+'Cost Rates'!$B$5)</f>
      </c>
      <c r="L37" s="11">
        <f>IF(D37="","",D37-K37)</f>
      </c>
      <c r="M37" s="12">
        <f>IF(OR(D37="",D37=0),"",L37/D37)</f>
      </c>
      <c r="N37" s="11">
        <f>IF((E37+F37)=0,"",ROUND(L37/(E37+F37),2))</f>
      </c>
    </row>
    <row r="38">
      <c r="H38" s="11">
        <f>IF(G38="","",ROUND(G38*'Cost Rates'!$B$3,2))</f>
      </c>
      <c r="J38" s="11">
        <f>IF(E38="","",ROUND((E38+F38)*'Cost Rates'!$B$4,2))</f>
      </c>
      <c r="K38" s="11">
        <f>IF(D38="","",SUM(H38,I38,J38)+'Cost Rates'!$B$5)</f>
      </c>
      <c r="L38" s="11">
        <f>IF(D38="","",D38-K38)</f>
      </c>
      <c r="M38" s="12">
        <f>IF(OR(D38="",D38=0),"",L38/D38)</f>
      </c>
      <c r="N38" s="11">
        <f>IF((E38+F38)=0,"",ROUND(L38/(E38+F38),2))</f>
      </c>
    </row>
    <row r="39">
      <c r="H39" s="11">
        <f>IF(G39="","",ROUND(G39*'Cost Rates'!$B$3,2))</f>
      </c>
      <c r="J39" s="11">
        <f>IF(E39="","",ROUND((E39+F39)*'Cost Rates'!$B$4,2))</f>
      </c>
      <c r="K39" s="11">
        <f>IF(D39="","",SUM(H39,I39,J39)+'Cost Rates'!$B$5)</f>
      </c>
      <c r="L39" s="11">
        <f>IF(D39="","",D39-K39)</f>
      </c>
      <c r="M39" s="12">
        <f>IF(OR(D39="",D39=0),"",L39/D39)</f>
      </c>
      <c r="N39" s="11">
        <f>IF((E39+F39)=0,"",ROUND(L39/(E39+F39),2))</f>
      </c>
    </row>
    <row r="40">
      <c r="H40" s="11">
        <f>IF(G40="","",ROUND(G40*'Cost Rates'!$B$3,2))</f>
      </c>
      <c r="J40" s="11">
        <f>IF(E40="","",ROUND((E40+F40)*'Cost Rates'!$B$4,2))</f>
      </c>
      <c r="K40" s="11">
        <f>IF(D40="","",SUM(H40,I40,J40)+'Cost Rates'!$B$5)</f>
      </c>
      <c r="L40" s="11">
        <f>IF(D40="","",D40-K40)</f>
      </c>
      <c r="M40" s="12">
        <f>IF(OR(D40="",D40=0),"",L40/D40)</f>
      </c>
      <c r="N40" s="11">
        <f>IF((E40+F40)=0,"",ROUND(L40/(E40+F40),2))</f>
      </c>
    </row>
    <row r="41">
      <c r="H41" s="11">
        <f>IF(G41="","",ROUND(G41*'Cost Rates'!$B$3,2))</f>
      </c>
      <c r="J41" s="11">
        <f>IF(E41="","",ROUND((E41+F41)*'Cost Rates'!$B$4,2))</f>
      </c>
      <c r="K41" s="11">
        <f>IF(D41="","",SUM(H41,I41,J41)+'Cost Rates'!$B$5)</f>
      </c>
      <c r="L41" s="11">
        <f>IF(D41="","",D41-K41)</f>
      </c>
      <c r="M41" s="12">
        <f>IF(OR(D41="",D41=0),"",L41/D41)</f>
      </c>
      <c r="N41" s="11">
        <f>IF((E41+F41)=0,"",ROUND(L41/(E41+F41),2))</f>
      </c>
    </row>
    <row r="42">
      <c r="H42" s="11">
        <f>IF(G42="","",ROUND(G42*'Cost Rates'!$B$3,2))</f>
      </c>
      <c r="J42" s="11">
        <f>IF(E42="","",ROUND((E42+F42)*'Cost Rates'!$B$4,2))</f>
      </c>
      <c r="K42" s="11">
        <f>IF(D42="","",SUM(H42,I42,J42)+'Cost Rates'!$B$5)</f>
      </c>
      <c r="L42" s="11">
        <f>IF(D42="","",D42-K42)</f>
      </c>
      <c r="M42" s="12">
        <f>IF(OR(D42="",D42=0),"",L42/D42)</f>
      </c>
      <c r="N42" s="11">
        <f>IF((E42+F42)=0,"",ROUND(L42/(E42+F42),2))</f>
      </c>
    </row>
    <row r="43">
      <c r="H43" s="11">
        <f>IF(G43="","",ROUND(G43*'Cost Rates'!$B$3,2))</f>
      </c>
      <c r="J43" s="11">
        <f>IF(E43="","",ROUND((E43+F43)*'Cost Rates'!$B$4,2))</f>
      </c>
      <c r="K43" s="11">
        <f>IF(D43="","",SUM(H43,I43,J43)+'Cost Rates'!$B$5)</f>
      </c>
      <c r="L43" s="11">
        <f>IF(D43="","",D43-K43)</f>
      </c>
      <c r="M43" s="12">
        <f>IF(OR(D43="",D43=0),"",L43/D43)</f>
      </c>
      <c r="N43" s="11">
        <f>IF((E43+F43)=0,"",ROUND(L43/(E43+F43),2))</f>
      </c>
    </row>
    <row r="44">
      <c r="H44" s="11">
        <f>IF(G44="","",ROUND(G44*'Cost Rates'!$B$3,2))</f>
      </c>
      <c r="J44" s="11">
        <f>IF(E44="","",ROUND((E44+F44)*'Cost Rates'!$B$4,2))</f>
      </c>
      <c r="K44" s="11">
        <f>IF(D44="","",SUM(H44,I44,J44)+'Cost Rates'!$B$5)</f>
      </c>
      <c r="L44" s="11">
        <f>IF(D44="","",D44-K44)</f>
      </c>
      <c r="M44" s="12">
        <f>IF(OR(D44="",D44=0),"",L44/D44)</f>
      </c>
      <c r="N44" s="11">
        <f>IF((E44+F44)=0,"",ROUND(L44/(E44+F44),2))</f>
      </c>
    </row>
    <row r="45">
      <c r="H45" s="11">
        <f>IF(G45="","",ROUND(G45*'Cost Rates'!$B$3,2))</f>
      </c>
      <c r="J45" s="11">
        <f>IF(E45="","",ROUND((E45+F45)*'Cost Rates'!$B$4,2))</f>
      </c>
      <c r="K45" s="11">
        <f>IF(D45="","",SUM(H45,I45,J45)+'Cost Rates'!$B$5)</f>
      </c>
      <c r="L45" s="11">
        <f>IF(D45="","",D45-K45)</f>
      </c>
      <c r="M45" s="12">
        <f>IF(OR(D45="",D45=0),"",L45/D45)</f>
      </c>
      <c r="N45" s="11">
        <f>IF((E45+F45)=0,"",ROUND(L45/(E45+F45),2))</f>
      </c>
    </row>
    <row r="46">
      <c r="H46" s="11">
        <f>IF(G46="","",ROUND(G46*'Cost Rates'!$B$3,2))</f>
      </c>
      <c r="J46" s="11">
        <f>IF(E46="","",ROUND((E46+F46)*'Cost Rates'!$B$4,2))</f>
      </c>
      <c r="K46" s="11">
        <f>IF(D46="","",SUM(H46,I46,J46)+'Cost Rates'!$B$5)</f>
      </c>
      <c r="L46" s="11">
        <f>IF(D46="","",D46-K46)</f>
      </c>
      <c r="M46" s="12">
        <f>IF(OR(D46="",D46=0),"",L46/D46)</f>
      </c>
      <c r="N46" s="11">
        <f>IF((E46+F46)=0,"",ROUND(L46/(E46+F46),2))</f>
      </c>
    </row>
    <row r="47">
      <c r="H47" s="11">
        <f>IF(G47="","",ROUND(G47*'Cost Rates'!$B$3,2))</f>
      </c>
      <c r="J47" s="11">
        <f>IF(E47="","",ROUND((E47+F47)*'Cost Rates'!$B$4,2))</f>
      </c>
      <c r="K47" s="11">
        <f>IF(D47="","",SUM(H47,I47,J47)+'Cost Rates'!$B$5)</f>
      </c>
      <c r="L47" s="11">
        <f>IF(D47="","",D47-K47)</f>
      </c>
      <c r="M47" s="12">
        <f>IF(OR(D47="",D47=0),"",L47/D47)</f>
      </c>
      <c r="N47" s="11">
        <f>IF((E47+F47)=0,"",ROUND(L47/(E47+F47),2))</f>
      </c>
    </row>
    <row r="48">
      <c r="H48" s="11">
        <f>IF(G48="","",ROUND(G48*'Cost Rates'!$B$3,2))</f>
      </c>
      <c r="J48" s="11">
        <f>IF(E48="","",ROUND((E48+F48)*'Cost Rates'!$B$4,2))</f>
      </c>
      <c r="K48" s="11">
        <f>IF(D48="","",SUM(H48,I48,J48)+'Cost Rates'!$B$5)</f>
      </c>
      <c r="L48" s="11">
        <f>IF(D48="","",D48-K48)</f>
      </c>
      <c r="M48" s="12">
        <f>IF(OR(D48="",D48=0),"",L48/D48)</f>
      </c>
      <c r="N48" s="11">
        <f>IF((E48+F48)=0,"",ROUND(L48/(E48+F48),2))</f>
      </c>
    </row>
    <row r="49">
      <c r="H49" s="11">
        <f>IF(G49="","",ROUND(G49*'Cost Rates'!$B$3,2))</f>
      </c>
      <c r="J49" s="11">
        <f>IF(E49="","",ROUND((E49+F49)*'Cost Rates'!$B$4,2))</f>
      </c>
      <c r="K49" s="11">
        <f>IF(D49="","",SUM(H49,I49,J49)+'Cost Rates'!$B$5)</f>
      </c>
      <c r="L49" s="11">
        <f>IF(D49="","",D49-K49)</f>
      </c>
      <c r="M49" s="12">
        <f>IF(OR(D49="",D49=0),"",L49/D49)</f>
      </c>
      <c r="N49" s="11">
        <f>IF((E49+F49)=0,"",ROUND(L49/(E49+F49),2))</f>
      </c>
    </row>
    <row r="50">
      <c r="H50" s="11">
        <f>IF(G50="","",ROUND(G50*'Cost Rates'!$B$3,2))</f>
      </c>
      <c r="J50" s="11">
        <f>IF(E50="","",ROUND((E50+F50)*'Cost Rates'!$B$4,2))</f>
      </c>
      <c r="K50" s="11">
        <f>IF(D50="","",SUM(H50,I50,J50)+'Cost Rates'!$B$5)</f>
      </c>
      <c r="L50" s="11">
        <f>IF(D50="","",D50-K50)</f>
      </c>
      <c r="M50" s="12">
        <f>IF(OR(D50="",D50=0),"",L50/D50)</f>
      </c>
      <c r="N50" s="11">
        <f>IF((E50+F50)=0,"",ROUND(L50/(E50+F50),2))</f>
      </c>
    </row>
    <row r="51">
      <c r="H51" s="11">
        <f>IF(G51="","",ROUND(G51*'Cost Rates'!$B$3,2))</f>
      </c>
      <c r="J51" s="11">
        <f>IF(E51="","",ROUND((E51+F51)*'Cost Rates'!$B$4,2))</f>
      </c>
      <c r="K51" s="11">
        <f>IF(D51="","",SUM(H51,I51,J51)+'Cost Rates'!$B$5)</f>
      </c>
      <c r="L51" s="11">
        <f>IF(D51="","",D51-K51)</f>
      </c>
      <c r="M51" s="12">
        <f>IF(OR(D51="",D51=0),"",L51/D51)</f>
      </c>
      <c r="N51" s="11">
        <f>IF((E51+F51)=0,"",ROUND(L51/(E51+F51),2))</f>
      </c>
    </row>
    <row r="52">
      <c r="H52" s="11">
        <f>IF(G52="","",ROUND(G52*'Cost Rates'!$B$3,2))</f>
      </c>
      <c r="J52" s="11">
        <f>IF(E52="","",ROUND((E52+F52)*'Cost Rates'!$B$4,2))</f>
      </c>
      <c r="K52" s="11">
        <f>IF(D52="","",SUM(H52,I52,J52)+'Cost Rates'!$B$5)</f>
      </c>
      <c r="L52" s="11">
        <f>IF(D52="","",D52-K52)</f>
      </c>
      <c r="M52" s="12">
        <f>IF(OR(D52="",D52=0),"",L52/D52)</f>
      </c>
      <c r="N52" s="11">
        <f>IF((E52+F52)=0,"",ROUND(L52/(E52+F52),2))</f>
      </c>
    </row>
    <row r="53">
      <c r="H53" s="11">
        <f>IF(G53="","",ROUND(G53*'Cost Rates'!$B$3,2))</f>
      </c>
      <c r="J53" s="11">
        <f>IF(E53="","",ROUND((E53+F53)*'Cost Rates'!$B$4,2))</f>
      </c>
      <c r="K53" s="11">
        <f>IF(D53="","",SUM(H53,I53,J53)+'Cost Rates'!$B$5)</f>
      </c>
      <c r="L53" s="11">
        <f>IF(D53="","",D53-K53)</f>
      </c>
      <c r="M53" s="12">
        <f>IF(OR(D53="",D53=0),"",L53/D53)</f>
      </c>
      <c r="N53" s="11">
        <f>IF((E53+F53)=0,"",ROUND(L53/(E53+F53),2))</f>
      </c>
    </row>
    <row r="54">
      <c r="H54" s="11">
        <f>IF(G54="","",ROUND(G54*'Cost Rates'!$B$3,2))</f>
      </c>
      <c r="J54" s="11">
        <f>IF(E54="","",ROUND((E54+F54)*'Cost Rates'!$B$4,2))</f>
      </c>
      <c r="K54" s="11">
        <f>IF(D54="","",SUM(H54,I54,J54)+'Cost Rates'!$B$5)</f>
      </c>
      <c r="L54" s="11">
        <f>IF(D54="","",D54-K54)</f>
      </c>
      <c r="M54" s="12">
        <f>IF(OR(D54="",D54=0),"",L54/D54)</f>
      </c>
      <c r="N54" s="11">
        <f>IF((E54+F54)=0,"",ROUND(L54/(E54+F54),2))</f>
      </c>
    </row>
    <row r="55">
      <c r="H55" s="11">
        <f>IF(G55="","",ROUND(G55*'Cost Rates'!$B$3,2))</f>
      </c>
      <c r="J55" s="11">
        <f>IF(E55="","",ROUND((E55+F55)*'Cost Rates'!$B$4,2))</f>
      </c>
      <c r="K55" s="11">
        <f>IF(D55="","",SUM(H55,I55,J55)+'Cost Rates'!$B$5)</f>
      </c>
      <c r="L55" s="11">
        <f>IF(D55="","",D55-K55)</f>
      </c>
      <c r="M55" s="12">
        <f>IF(OR(D55="",D55=0),"",L55/D55)</f>
      </c>
      <c r="N55" s="11">
        <f>IF((E55+F55)=0,"",ROUND(L55/(E55+F55),2))</f>
      </c>
    </row>
    <row r="56">
      <c r="H56" s="11">
        <f>IF(G56="","",ROUND(G56*'Cost Rates'!$B$3,2))</f>
      </c>
      <c r="J56" s="11">
        <f>IF(E56="","",ROUND((E56+F56)*'Cost Rates'!$B$4,2))</f>
      </c>
      <c r="K56" s="11">
        <f>IF(D56="","",SUM(H56,I56,J56)+'Cost Rates'!$B$5)</f>
      </c>
      <c r="L56" s="11">
        <f>IF(D56="","",D56-K56)</f>
      </c>
      <c r="M56" s="12">
        <f>IF(OR(D56="",D56=0),"",L56/D56)</f>
      </c>
      <c r="N56" s="11">
        <f>IF((E56+F56)=0,"",ROUND(L56/(E56+F56),2))</f>
      </c>
    </row>
    <row r="57">
      <c r="H57" s="11">
        <f>IF(G57="","",ROUND(G57*'Cost Rates'!$B$3,2))</f>
      </c>
      <c r="J57" s="11">
        <f>IF(E57="","",ROUND((E57+F57)*'Cost Rates'!$B$4,2))</f>
      </c>
      <c r="K57" s="11">
        <f>IF(D57="","",SUM(H57,I57,J57)+'Cost Rates'!$B$5)</f>
      </c>
      <c r="L57" s="11">
        <f>IF(D57="","",D57-K57)</f>
      </c>
      <c r="M57" s="12">
        <f>IF(OR(D57="",D57=0),"",L57/D57)</f>
      </c>
      <c r="N57" s="11">
        <f>IF((E57+F57)=0,"",ROUND(L57/(E57+F57),2))</f>
      </c>
    </row>
    <row r="58">
      <c r="H58" s="11">
        <f>IF(G58="","",ROUND(G58*'Cost Rates'!$B$3,2))</f>
      </c>
      <c r="J58" s="11">
        <f>IF(E58="","",ROUND((E58+F58)*'Cost Rates'!$B$4,2))</f>
      </c>
      <c r="K58" s="11">
        <f>IF(D58="","",SUM(H58,I58,J58)+'Cost Rates'!$B$5)</f>
      </c>
      <c r="L58" s="11">
        <f>IF(D58="","",D58-K58)</f>
      </c>
      <c r="M58" s="12">
        <f>IF(OR(D58="",D58=0),"",L58/D58)</f>
      </c>
      <c r="N58" s="11">
        <f>IF((E58+F58)=0,"",ROUND(L58/(E58+F58),2))</f>
      </c>
    </row>
    <row r="59">
      <c r="H59" s="11">
        <f>IF(G59="","",ROUND(G59*'Cost Rates'!$B$3,2))</f>
      </c>
      <c r="J59" s="11">
        <f>IF(E59="","",ROUND((E59+F59)*'Cost Rates'!$B$4,2))</f>
      </c>
      <c r="K59" s="11">
        <f>IF(D59="","",SUM(H59,I59,J59)+'Cost Rates'!$B$5)</f>
      </c>
      <c r="L59" s="11">
        <f>IF(D59="","",D59-K59)</f>
      </c>
      <c r="M59" s="12">
        <f>IF(OR(D59="",D59=0),"",L59/D59)</f>
      </c>
      <c r="N59" s="11">
        <f>IF((E59+F59)=0,"",ROUND(L59/(E59+F59),2))</f>
      </c>
    </row>
    <row r="60">
      <c r="H60" s="11">
        <f>IF(G60="","",ROUND(G60*'Cost Rates'!$B$3,2))</f>
      </c>
      <c r="J60" s="11">
        <f>IF(E60="","",ROUND((E60+F60)*'Cost Rates'!$B$4,2))</f>
      </c>
      <c r="K60" s="11">
        <f>IF(D60="","",SUM(H60,I60,J60)+'Cost Rates'!$B$5)</f>
      </c>
      <c r="L60" s="11">
        <f>IF(D60="","",D60-K60)</f>
      </c>
      <c r="M60" s="12">
        <f>IF(OR(D60="",D60=0),"",L60/D60)</f>
      </c>
      <c r="N60" s="11">
        <f>IF((E60+F60)=0,"",ROUND(L60/(E60+F60),2))</f>
      </c>
    </row>
    <row r="61">
      <c r="H61" s="11">
        <f>IF(G61="","",ROUND(G61*'Cost Rates'!$B$3,2))</f>
      </c>
      <c r="J61" s="11">
        <f>IF(E61="","",ROUND((E61+F61)*'Cost Rates'!$B$4,2))</f>
      </c>
      <c r="K61" s="11">
        <f>IF(D61="","",SUM(H61,I61,J61)+'Cost Rates'!$B$5)</f>
      </c>
      <c r="L61" s="11">
        <f>IF(D61="","",D61-K61)</f>
      </c>
      <c r="M61" s="12">
        <f>IF(OR(D61="",D61=0),"",L61/D61)</f>
      </c>
      <c r="N61" s="11">
        <f>IF((E61+F61)=0,"",ROUND(L61/(E61+F61),2))</f>
      </c>
    </row>
    <row r="62">
      <c r="H62" s="11">
        <f>IF(G62="","",ROUND(G62*'Cost Rates'!$B$3,2))</f>
      </c>
      <c r="J62" s="11">
        <f>IF(E62="","",ROUND((E62+F62)*'Cost Rates'!$B$4,2))</f>
      </c>
      <c r="K62" s="11">
        <f>IF(D62="","",SUM(H62,I62,J62)+'Cost Rates'!$B$5)</f>
      </c>
      <c r="L62" s="11">
        <f>IF(D62="","",D62-K62)</f>
      </c>
      <c r="M62" s="12">
        <f>IF(OR(D62="",D62=0),"",L62/D62)</f>
      </c>
      <c r="N62" s="11">
        <f>IF((E62+F62)=0,"",ROUND(L62/(E62+F62),2))</f>
      </c>
    </row>
    <row r="63">
      <c r="H63" s="11">
        <f>IF(G63="","",ROUND(G63*'Cost Rates'!$B$3,2))</f>
      </c>
      <c r="J63" s="11">
        <f>IF(E63="","",ROUND((E63+F63)*'Cost Rates'!$B$4,2))</f>
      </c>
      <c r="K63" s="11">
        <f>IF(D63="","",SUM(H63,I63,J63)+'Cost Rates'!$B$5)</f>
      </c>
      <c r="L63" s="11">
        <f>IF(D63="","",D63-K63)</f>
      </c>
      <c r="M63" s="12">
        <f>IF(OR(D63="",D63=0),"",L63/D63)</f>
      </c>
      <c r="N63" s="11">
        <f>IF((E63+F63)=0,"",ROUND(L63/(E63+F63),2))</f>
      </c>
    </row>
    <row r="64">
      <c r="H64" s="11">
        <f>IF(G64="","",ROUND(G64*'Cost Rates'!$B$3,2))</f>
      </c>
      <c r="J64" s="11">
        <f>IF(E64="","",ROUND((E64+F64)*'Cost Rates'!$B$4,2))</f>
      </c>
      <c r="K64" s="11">
        <f>IF(D64="","",SUM(H64,I64,J64)+'Cost Rates'!$B$5)</f>
      </c>
      <c r="L64" s="11">
        <f>IF(D64="","",D64-K64)</f>
      </c>
      <c r="M64" s="12">
        <f>IF(OR(D64="",D64=0),"",L64/D64)</f>
      </c>
      <c r="N64" s="11">
        <f>IF((E64+F64)=0,"",ROUND(L64/(E64+F64),2))</f>
      </c>
    </row>
    <row r="65">
      <c r="H65" s="11">
        <f>IF(G65="","",ROUND(G65*'Cost Rates'!$B$3,2))</f>
      </c>
      <c r="J65" s="11">
        <f>IF(E65="","",ROUND((E65+F65)*'Cost Rates'!$B$4,2))</f>
      </c>
      <c r="K65" s="11">
        <f>IF(D65="","",SUM(H65,I65,J65)+'Cost Rates'!$B$5)</f>
      </c>
      <c r="L65" s="11">
        <f>IF(D65="","",D65-K65)</f>
      </c>
      <c r="M65" s="12">
        <f>IF(OR(D65="",D65=0),"",L65/D65)</f>
      </c>
      <c r="N65" s="11">
        <f>IF((E65+F65)=0,"",ROUND(L65/(E65+F65),2))</f>
      </c>
    </row>
    <row r="66">
      <c r="H66" s="11">
        <f>IF(G66="","",ROUND(G66*'Cost Rates'!$B$3,2))</f>
      </c>
      <c r="J66" s="11">
        <f>IF(E66="","",ROUND((E66+F66)*'Cost Rates'!$B$4,2))</f>
      </c>
      <c r="K66" s="11">
        <f>IF(D66="","",SUM(H66,I66,J66)+'Cost Rates'!$B$5)</f>
      </c>
      <c r="L66" s="11">
        <f>IF(D66="","",D66-K66)</f>
      </c>
      <c r="M66" s="12">
        <f>IF(OR(D66="",D66=0),"",L66/D66)</f>
      </c>
      <c r="N66" s="11">
        <f>IF((E66+F66)=0,"",ROUND(L66/(E66+F66),2))</f>
      </c>
    </row>
    <row r="67">
      <c r="H67" s="11">
        <f>IF(G67="","",ROUND(G67*'Cost Rates'!$B$3,2))</f>
      </c>
      <c r="J67" s="11">
        <f>IF(E67="","",ROUND((E67+F67)*'Cost Rates'!$B$4,2))</f>
      </c>
      <c r="K67" s="11">
        <f>IF(D67="","",SUM(H67,I67,J67)+'Cost Rates'!$B$5)</f>
      </c>
      <c r="L67" s="11">
        <f>IF(D67="","",D67-K67)</f>
      </c>
      <c r="M67" s="12">
        <f>IF(OR(D67="",D67=0),"",L67/D67)</f>
      </c>
      <c r="N67" s="11">
        <f>IF((E67+F67)=0,"",ROUND(L67/(E67+F67),2))</f>
      </c>
    </row>
    <row r="68">
      <c r="H68" s="11">
        <f>IF(G68="","",ROUND(G68*'Cost Rates'!$B$3,2))</f>
      </c>
      <c r="J68" s="11">
        <f>IF(E68="","",ROUND((E68+F68)*'Cost Rates'!$B$4,2))</f>
      </c>
      <c r="K68" s="11">
        <f>IF(D68="","",SUM(H68,I68,J68)+'Cost Rates'!$B$5)</f>
      </c>
      <c r="L68" s="11">
        <f>IF(D68="","",D68-K68)</f>
      </c>
      <c r="M68" s="12">
        <f>IF(OR(D68="",D68=0),"",L68/D68)</f>
      </c>
      <c r="N68" s="11">
        <f>IF((E68+F68)=0,"",ROUND(L68/(E68+F68),2))</f>
      </c>
    </row>
    <row r="69">
      <c r="H69" s="11">
        <f>IF(G69="","",ROUND(G69*'Cost Rates'!$B$3,2))</f>
      </c>
      <c r="J69" s="11">
        <f>IF(E69="","",ROUND((E69+F69)*'Cost Rates'!$B$4,2))</f>
      </c>
      <c r="K69" s="11">
        <f>IF(D69="","",SUM(H69,I69,J69)+'Cost Rates'!$B$5)</f>
      </c>
      <c r="L69" s="11">
        <f>IF(D69="","",D69-K69)</f>
      </c>
      <c r="M69" s="12">
        <f>IF(OR(D69="",D69=0),"",L69/D69)</f>
      </c>
      <c r="N69" s="11">
        <f>IF((E69+F69)=0,"",ROUND(L69/(E69+F69),2))</f>
      </c>
    </row>
    <row r="70">
      <c r="H70" s="11">
        <f>IF(G70="","",ROUND(G70*'Cost Rates'!$B$3,2))</f>
      </c>
      <c r="J70" s="11">
        <f>IF(E70="","",ROUND((E70+F70)*'Cost Rates'!$B$4,2))</f>
      </c>
      <c r="K70" s="11">
        <f>IF(D70="","",SUM(H70,I70,J70)+'Cost Rates'!$B$5)</f>
      </c>
      <c r="L70" s="11">
        <f>IF(D70="","",D70-K70)</f>
      </c>
      <c r="M70" s="12">
        <f>IF(OR(D70="",D70=0),"",L70/D70)</f>
      </c>
      <c r="N70" s="11">
        <f>IF((E70+F70)=0,"",ROUND(L70/(E70+F70),2))</f>
      </c>
    </row>
    <row r="71">
      <c r="H71" s="11">
        <f>IF(G71="","",ROUND(G71*'Cost Rates'!$B$3,2))</f>
      </c>
      <c r="J71" s="11">
        <f>IF(E71="","",ROUND((E71+F71)*'Cost Rates'!$B$4,2))</f>
      </c>
      <c r="K71" s="11">
        <f>IF(D71="","",SUM(H71,I71,J71)+'Cost Rates'!$B$5)</f>
      </c>
      <c r="L71" s="11">
        <f>IF(D71="","",D71-K71)</f>
      </c>
      <c r="M71" s="12">
        <f>IF(OR(D71="",D71=0),"",L71/D71)</f>
      </c>
      <c r="N71" s="11">
        <f>IF((E71+F71)=0,"",ROUND(L71/(E71+F71),2))</f>
      </c>
    </row>
    <row r="72">
      <c r="H72" s="11">
        <f>IF(G72="","",ROUND(G72*'Cost Rates'!$B$3,2))</f>
      </c>
      <c r="J72" s="11">
        <f>IF(E72="","",ROUND((E72+F72)*'Cost Rates'!$B$4,2))</f>
      </c>
      <c r="K72" s="11">
        <f>IF(D72="","",SUM(H72,I72,J72)+'Cost Rates'!$B$5)</f>
      </c>
      <c r="L72" s="11">
        <f>IF(D72="","",D72-K72)</f>
      </c>
      <c r="M72" s="12">
        <f>IF(OR(D72="",D72=0),"",L72/D72)</f>
      </c>
      <c r="N72" s="11">
        <f>IF((E72+F72)=0,"",ROUND(L72/(E72+F72),2))</f>
      </c>
    </row>
    <row r="73">
      <c r="H73" s="11">
        <f>IF(G73="","",ROUND(G73*'Cost Rates'!$B$3,2))</f>
      </c>
      <c r="J73" s="11">
        <f>IF(E73="","",ROUND((E73+F73)*'Cost Rates'!$B$4,2))</f>
      </c>
      <c r="K73" s="11">
        <f>IF(D73="","",SUM(H73,I73,J73)+'Cost Rates'!$B$5)</f>
      </c>
      <c r="L73" s="11">
        <f>IF(D73="","",D73-K73)</f>
      </c>
      <c r="M73" s="12">
        <f>IF(OR(D73="",D73=0),"",L73/D73)</f>
      </c>
      <c r="N73" s="11">
        <f>IF((E73+F73)=0,"",ROUND(L73/(E73+F73),2))</f>
      </c>
    </row>
    <row r="74">
      <c r="H74" s="11">
        <f>IF(G74="","",ROUND(G74*'Cost Rates'!$B$3,2))</f>
      </c>
      <c r="J74" s="11">
        <f>IF(E74="","",ROUND((E74+F74)*'Cost Rates'!$B$4,2))</f>
      </c>
      <c r="K74" s="11">
        <f>IF(D74="","",SUM(H74,I74,J74)+'Cost Rates'!$B$5)</f>
      </c>
      <c r="L74" s="11">
        <f>IF(D74="","",D74-K74)</f>
      </c>
      <c r="M74" s="12">
        <f>IF(OR(D74="",D74=0),"",L74/D74)</f>
      </c>
      <c r="N74" s="11">
        <f>IF((E74+F74)=0,"",ROUND(L74/(E74+F74),2))</f>
      </c>
    </row>
    <row r="75">
      <c r="H75" s="11">
        <f>IF(G75="","",ROUND(G75*'Cost Rates'!$B$3,2))</f>
      </c>
      <c r="J75" s="11">
        <f>IF(E75="","",ROUND((E75+F75)*'Cost Rates'!$B$4,2))</f>
      </c>
      <c r="K75" s="11">
        <f>IF(D75="","",SUM(H75,I75,J75)+'Cost Rates'!$B$5)</f>
      </c>
      <c r="L75" s="11">
        <f>IF(D75="","",D75-K75)</f>
      </c>
      <c r="M75" s="12">
        <f>IF(OR(D75="",D75=0),"",L75/D75)</f>
      </c>
      <c r="N75" s="11">
        <f>IF((E75+F75)=0,"",ROUND(L75/(E75+F75),2))</f>
      </c>
    </row>
    <row r="76">
      <c r="H76" s="11">
        <f>IF(G76="","",ROUND(G76*'Cost Rates'!$B$3,2))</f>
      </c>
      <c r="J76" s="11">
        <f>IF(E76="","",ROUND((E76+F76)*'Cost Rates'!$B$4,2))</f>
      </c>
      <c r="K76" s="11">
        <f>IF(D76="","",SUM(H76,I76,J76)+'Cost Rates'!$B$5)</f>
      </c>
      <c r="L76" s="11">
        <f>IF(D76="","",D76-K76)</f>
      </c>
      <c r="M76" s="12">
        <f>IF(OR(D76="",D76=0),"",L76/D76)</f>
      </c>
      <c r="N76" s="11">
        <f>IF((E76+F76)=0,"",ROUND(L76/(E76+F76),2))</f>
      </c>
    </row>
    <row r="77">
      <c r="H77" s="11">
        <f>IF(G77="","",ROUND(G77*'Cost Rates'!$B$3,2))</f>
      </c>
      <c r="J77" s="11">
        <f>IF(E77="","",ROUND((E77+F77)*'Cost Rates'!$B$4,2))</f>
      </c>
      <c r="K77" s="11">
        <f>IF(D77="","",SUM(H77,I77,J77)+'Cost Rates'!$B$5)</f>
      </c>
      <c r="L77" s="11">
        <f>IF(D77="","",D77-K77)</f>
      </c>
      <c r="M77" s="12">
        <f>IF(OR(D77="",D77=0),"",L77/D77)</f>
      </c>
      <c r="N77" s="11">
        <f>IF((E77+F77)=0,"",ROUND(L77/(E77+F77),2))</f>
      </c>
    </row>
    <row r="78">
      <c r="H78" s="11">
        <f>IF(G78="","",ROUND(G78*'Cost Rates'!$B$3,2))</f>
      </c>
      <c r="J78" s="11">
        <f>IF(E78="","",ROUND((E78+F78)*'Cost Rates'!$B$4,2))</f>
      </c>
      <c r="K78" s="11">
        <f>IF(D78="","",SUM(H78,I78,J78)+'Cost Rates'!$B$5)</f>
      </c>
      <c r="L78" s="11">
        <f>IF(D78="","",D78-K78)</f>
      </c>
      <c r="M78" s="12">
        <f>IF(OR(D78="",D78=0),"",L78/D78)</f>
      </c>
      <c r="N78" s="11">
        <f>IF((E78+F78)=0,"",ROUND(L78/(E78+F78),2))</f>
      </c>
    </row>
    <row r="79">
      <c r="H79" s="11">
        <f>IF(G79="","",ROUND(G79*'Cost Rates'!$B$3,2))</f>
      </c>
      <c r="J79" s="11">
        <f>IF(E79="","",ROUND((E79+F79)*'Cost Rates'!$B$4,2))</f>
      </c>
      <c r="K79" s="11">
        <f>IF(D79="","",SUM(H79,I79,J79)+'Cost Rates'!$B$5)</f>
      </c>
      <c r="L79" s="11">
        <f>IF(D79="","",D79-K79)</f>
      </c>
      <c r="M79" s="12">
        <f>IF(OR(D79="",D79=0),"",L79/D79)</f>
      </c>
      <c r="N79" s="11">
        <f>IF((E79+F79)=0,"",ROUND(L79/(E79+F79),2))</f>
      </c>
    </row>
    <row r="80">
      <c r="H80" s="11">
        <f>IF(G80="","",ROUND(G80*'Cost Rates'!$B$3,2))</f>
      </c>
      <c r="J80" s="11">
        <f>IF(E80="","",ROUND((E80+F80)*'Cost Rates'!$B$4,2))</f>
      </c>
      <c r="K80" s="11">
        <f>IF(D80="","",SUM(H80,I80,J80)+'Cost Rates'!$B$5)</f>
      </c>
      <c r="L80" s="11">
        <f>IF(D80="","",D80-K80)</f>
      </c>
      <c r="M80" s="12">
        <f>IF(OR(D80="",D80=0),"",L80/D80)</f>
      </c>
      <c r="N80" s="11">
        <f>IF((E80+F80)=0,"",ROUND(L80/(E80+F80),2))</f>
      </c>
    </row>
    <row r="81">
      <c r="H81" s="11">
        <f>IF(G81="","",ROUND(G81*'Cost Rates'!$B$3,2))</f>
      </c>
      <c r="J81" s="11">
        <f>IF(E81="","",ROUND((E81+F81)*'Cost Rates'!$B$4,2))</f>
      </c>
      <c r="K81" s="11">
        <f>IF(D81="","",SUM(H81,I81,J81)+'Cost Rates'!$B$5)</f>
      </c>
      <c r="L81" s="11">
        <f>IF(D81="","",D81-K81)</f>
      </c>
      <c r="M81" s="12">
        <f>IF(OR(D81="",D81=0),"",L81/D81)</f>
      </c>
      <c r="N81" s="11">
        <f>IF((E81+F81)=0,"",ROUND(L81/(E81+F81),2))</f>
      </c>
    </row>
    <row r="82">
      <c r="H82" s="11">
        <f>IF(G82="","",ROUND(G82*'Cost Rates'!$B$3,2))</f>
      </c>
      <c r="J82" s="11">
        <f>IF(E82="","",ROUND((E82+F82)*'Cost Rates'!$B$4,2))</f>
      </c>
      <c r="K82" s="11">
        <f>IF(D82="","",SUM(H82,I82,J82)+'Cost Rates'!$B$5)</f>
      </c>
      <c r="L82" s="11">
        <f>IF(D82="","",D82-K82)</f>
      </c>
      <c r="M82" s="12">
        <f>IF(OR(D82="",D82=0),"",L82/D82)</f>
      </c>
      <c r="N82" s="11">
        <f>IF((E82+F82)=0,"",ROUND(L82/(E82+F82),2))</f>
      </c>
    </row>
    <row r="83">
      <c r="H83" s="11">
        <f>IF(G83="","",ROUND(G83*'Cost Rates'!$B$3,2))</f>
      </c>
      <c r="J83" s="11">
        <f>IF(E83="","",ROUND((E83+F83)*'Cost Rates'!$B$4,2))</f>
      </c>
      <c r="K83" s="11">
        <f>IF(D83="","",SUM(H83,I83,J83)+'Cost Rates'!$B$5)</f>
      </c>
      <c r="L83" s="11">
        <f>IF(D83="","",D83-K83)</f>
      </c>
      <c r="M83" s="12">
        <f>IF(OR(D83="",D83=0),"",L83/D83)</f>
      </c>
      <c r="N83" s="11">
        <f>IF((E83+F83)=0,"",ROUND(L83/(E83+F83),2))</f>
      </c>
    </row>
    <row r="84">
      <c r="H84" s="11">
        <f>IF(G84="","",ROUND(G84*'Cost Rates'!$B$3,2))</f>
      </c>
      <c r="J84" s="11">
        <f>IF(E84="","",ROUND((E84+F84)*'Cost Rates'!$B$4,2))</f>
      </c>
      <c r="K84" s="11">
        <f>IF(D84="","",SUM(H84,I84,J84)+'Cost Rates'!$B$5)</f>
      </c>
      <c r="L84" s="11">
        <f>IF(D84="","",D84-K84)</f>
      </c>
      <c r="M84" s="12">
        <f>IF(OR(D84="",D84=0),"",L84/D84)</f>
      </c>
      <c r="N84" s="11">
        <f>IF((E84+F84)=0,"",ROUND(L84/(E84+F84),2))</f>
      </c>
    </row>
    <row r="85">
      <c r="H85" s="11">
        <f>IF(G85="","",ROUND(G85*'Cost Rates'!$B$3,2))</f>
      </c>
      <c r="J85" s="11">
        <f>IF(E85="","",ROUND((E85+F85)*'Cost Rates'!$B$4,2))</f>
      </c>
      <c r="K85" s="11">
        <f>IF(D85="","",SUM(H85,I85,J85)+'Cost Rates'!$B$5)</f>
      </c>
      <c r="L85" s="11">
        <f>IF(D85="","",D85-K85)</f>
      </c>
      <c r="M85" s="12">
        <f>IF(OR(D85="",D85=0),"",L85/D85)</f>
      </c>
      <c r="N85" s="11">
        <f>IF((E85+F85)=0,"",ROUND(L85/(E85+F85),2))</f>
      </c>
    </row>
    <row r="86">
      <c r="H86" s="11">
        <f>IF(G86="","",ROUND(G86*'Cost Rates'!$B$3,2))</f>
      </c>
      <c r="J86" s="11">
        <f>IF(E86="","",ROUND((E86+F86)*'Cost Rates'!$B$4,2))</f>
      </c>
      <c r="K86" s="11">
        <f>IF(D86="","",SUM(H86,I86,J86)+'Cost Rates'!$B$5)</f>
      </c>
      <c r="L86" s="11">
        <f>IF(D86="","",D86-K86)</f>
      </c>
      <c r="M86" s="12">
        <f>IF(OR(D86="",D86=0),"",L86/D86)</f>
      </c>
      <c r="N86" s="11">
        <f>IF((E86+F86)=0,"",ROUND(L86/(E86+F86),2))</f>
      </c>
    </row>
    <row r="87">
      <c r="H87" s="11">
        <f>IF(G87="","",ROUND(G87*'Cost Rates'!$B$3,2))</f>
      </c>
      <c r="J87" s="11">
        <f>IF(E87="","",ROUND((E87+F87)*'Cost Rates'!$B$4,2))</f>
      </c>
      <c r="K87" s="11">
        <f>IF(D87="","",SUM(H87,I87,J87)+'Cost Rates'!$B$5)</f>
      </c>
      <c r="L87" s="11">
        <f>IF(D87="","",D87-K87)</f>
      </c>
      <c r="M87" s="12">
        <f>IF(OR(D87="",D87=0),"",L87/D87)</f>
      </c>
      <c r="N87" s="11">
        <f>IF((E87+F87)=0,"",ROUND(L87/(E87+F87),2))</f>
      </c>
    </row>
    <row r="88">
      <c r="H88" s="11">
        <f>IF(G88="","",ROUND(G88*'Cost Rates'!$B$3,2))</f>
      </c>
      <c r="J88" s="11">
        <f>IF(E88="","",ROUND((E88+F88)*'Cost Rates'!$B$4,2))</f>
      </c>
      <c r="K88" s="11">
        <f>IF(D88="","",SUM(H88,I88,J88)+'Cost Rates'!$B$5)</f>
      </c>
      <c r="L88" s="11">
        <f>IF(D88="","",D88-K88)</f>
      </c>
      <c r="M88" s="12">
        <f>IF(OR(D88="",D88=0),"",L88/D88)</f>
      </c>
      <c r="N88" s="11">
        <f>IF((E88+F88)=0,"",ROUND(L88/(E88+F88),2))</f>
      </c>
    </row>
    <row r="89">
      <c r="H89" s="11">
        <f>IF(G89="","",ROUND(G89*'Cost Rates'!$B$3,2))</f>
      </c>
      <c r="J89" s="11">
        <f>IF(E89="","",ROUND((E89+F89)*'Cost Rates'!$B$4,2))</f>
      </c>
      <c r="K89" s="11">
        <f>IF(D89="","",SUM(H89,I89,J89)+'Cost Rates'!$B$5)</f>
      </c>
      <c r="L89" s="11">
        <f>IF(D89="","",D89-K89)</f>
      </c>
      <c r="M89" s="12">
        <f>IF(OR(D89="",D89=0),"",L89/D89)</f>
      </c>
      <c r="N89" s="11">
        <f>IF((E89+F89)=0,"",ROUND(L89/(E89+F89),2))</f>
      </c>
    </row>
    <row r="90">
      <c r="H90" s="11">
        <f>IF(G90="","",ROUND(G90*'Cost Rates'!$B$3,2))</f>
      </c>
      <c r="J90" s="11">
        <f>IF(E90="","",ROUND((E90+F90)*'Cost Rates'!$B$4,2))</f>
      </c>
      <c r="K90" s="11">
        <f>IF(D90="","",SUM(H90,I90,J90)+'Cost Rates'!$B$5)</f>
      </c>
      <c r="L90" s="11">
        <f>IF(D90="","",D90-K90)</f>
      </c>
      <c r="M90" s="12">
        <f>IF(OR(D90="",D90=0),"",L90/D90)</f>
      </c>
      <c r="N90" s="11">
        <f>IF((E90+F90)=0,"",ROUND(L90/(E90+F90),2))</f>
      </c>
    </row>
    <row r="91">
      <c r="H91" s="11">
        <f>IF(G91="","",ROUND(G91*'Cost Rates'!$B$3,2))</f>
      </c>
      <c r="J91" s="11">
        <f>IF(E91="","",ROUND((E91+F91)*'Cost Rates'!$B$4,2))</f>
      </c>
      <c r="K91" s="11">
        <f>IF(D91="","",SUM(H91,I91,J91)+'Cost Rates'!$B$5)</f>
      </c>
      <c r="L91" s="11">
        <f>IF(D91="","",D91-K91)</f>
      </c>
      <c r="M91" s="12">
        <f>IF(OR(D91="",D91=0),"",L91/D91)</f>
      </c>
      <c r="N91" s="11">
        <f>IF((E91+F91)=0,"",ROUND(L91/(E91+F91),2))</f>
      </c>
    </row>
    <row r="92">
      <c r="H92" s="11">
        <f>IF(G92="","",ROUND(G92*'Cost Rates'!$B$3,2))</f>
      </c>
      <c r="J92" s="11">
        <f>IF(E92="","",ROUND((E92+F92)*'Cost Rates'!$B$4,2))</f>
      </c>
      <c r="K92" s="11">
        <f>IF(D92="","",SUM(H92,I92,J92)+'Cost Rates'!$B$5)</f>
      </c>
      <c r="L92" s="11">
        <f>IF(D92="","",D92-K92)</f>
      </c>
      <c r="M92" s="12">
        <f>IF(OR(D92="",D92=0),"",L92/D92)</f>
      </c>
      <c r="N92" s="11">
        <f>IF((E92+F92)=0,"",ROUND(L92/(E92+F92),2))</f>
      </c>
    </row>
    <row r="93">
      <c r="H93" s="11">
        <f>IF(G93="","",ROUND(G93*'Cost Rates'!$B$3,2))</f>
      </c>
      <c r="J93" s="11">
        <f>IF(E93="","",ROUND((E93+F93)*'Cost Rates'!$B$4,2))</f>
      </c>
      <c r="K93" s="11">
        <f>IF(D93="","",SUM(H93,I93,J93)+'Cost Rates'!$B$5)</f>
      </c>
      <c r="L93" s="11">
        <f>IF(D93="","",D93-K93)</f>
      </c>
      <c r="M93" s="12">
        <f>IF(OR(D93="",D93=0),"",L93/D93)</f>
      </c>
      <c r="N93" s="11">
        <f>IF((E93+F93)=0,"",ROUND(L93/(E93+F93),2))</f>
      </c>
    </row>
    <row r="94">
      <c r="H94" s="11">
        <f>IF(G94="","",ROUND(G94*'Cost Rates'!$B$3,2))</f>
      </c>
      <c r="J94" s="11">
        <f>IF(E94="","",ROUND((E94+F94)*'Cost Rates'!$B$4,2))</f>
      </c>
      <c r="K94" s="11">
        <f>IF(D94="","",SUM(H94,I94,J94)+'Cost Rates'!$B$5)</f>
      </c>
      <c r="L94" s="11">
        <f>IF(D94="","",D94-K94)</f>
      </c>
      <c r="M94" s="12">
        <f>IF(OR(D94="",D94=0),"",L94/D94)</f>
      </c>
      <c r="N94" s="11">
        <f>IF((E94+F94)=0,"",ROUND(L94/(E94+F94),2))</f>
      </c>
    </row>
    <row r="95">
      <c r="H95" s="11">
        <f>IF(G95="","",ROUND(G95*'Cost Rates'!$B$3,2))</f>
      </c>
      <c r="J95" s="11">
        <f>IF(E95="","",ROUND((E95+F95)*'Cost Rates'!$B$4,2))</f>
      </c>
      <c r="K95" s="11">
        <f>IF(D95="","",SUM(H95,I95,J95)+'Cost Rates'!$B$5)</f>
      </c>
      <c r="L95" s="11">
        <f>IF(D95="","",D95-K95)</f>
      </c>
      <c r="M95" s="12">
        <f>IF(OR(D95="",D95=0),"",L95/D95)</f>
      </c>
      <c r="N95" s="11">
        <f>IF((E95+F95)=0,"",ROUND(L95/(E95+F95),2))</f>
      </c>
    </row>
    <row r="96">
      <c r="H96" s="11">
        <f>IF(G96="","",ROUND(G96*'Cost Rates'!$B$3,2))</f>
      </c>
      <c r="J96" s="11">
        <f>IF(E96="","",ROUND((E96+F96)*'Cost Rates'!$B$4,2))</f>
      </c>
      <c r="K96" s="11">
        <f>IF(D96="","",SUM(H96,I96,J96)+'Cost Rates'!$B$5)</f>
      </c>
      <c r="L96" s="11">
        <f>IF(D96="","",D96-K96)</f>
      </c>
      <c r="M96" s="12">
        <f>IF(OR(D96="",D96=0),"",L96/D96)</f>
      </c>
      <c r="N96" s="11">
        <f>IF((E96+F96)=0,"",ROUND(L96/(E96+F96),2))</f>
      </c>
    </row>
    <row r="97">
      <c r="H97" s="11">
        <f>IF(G97="","",ROUND(G97*'Cost Rates'!$B$3,2))</f>
      </c>
      <c r="J97" s="11">
        <f>IF(E97="","",ROUND((E97+F97)*'Cost Rates'!$B$4,2))</f>
      </c>
      <c r="K97" s="11">
        <f>IF(D97="","",SUM(H97,I97,J97)+'Cost Rates'!$B$5)</f>
      </c>
      <c r="L97" s="11">
        <f>IF(D97="","",D97-K97)</f>
      </c>
      <c r="M97" s="12">
        <f>IF(OR(D97="",D97=0),"",L97/D97)</f>
      </c>
      <c r="N97" s="11">
        <f>IF((E97+F97)=0,"",ROUND(L97/(E97+F97),2))</f>
      </c>
    </row>
    <row r="98">
      <c r="H98" s="11">
        <f>IF(G98="","",ROUND(G98*'Cost Rates'!$B$3,2))</f>
      </c>
      <c r="J98" s="11">
        <f>IF(E98="","",ROUND((E98+F98)*'Cost Rates'!$B$4,2))</f>
      </c>
      <c r="K98" s="11">
        <f>IF(D98="","",SUM(H98,I98,J98)+'Cost Rates'!$B$5)</f>
      </c>
      <c r="L98" s="11">
        <f>IF(D98="","",D98-K98)</f>
      </c>
      <c r="M98" s="12">
        <f>IF(OR(D98="",D98=0),"",L98/D98)</f>
      </c>
      <c r="N98" s="11">
        <f>IF((E98+F98)=0,"",ROUND(L98/(E98+F98),2))</f>
      </c>
    </row>
    <row r="99">
      <c r="H99" s="11">
        <f>IF(G99="","",ROUND(G99*'Cost Rates'!$B$3,2))</f>
      </c>
      <c r="J99" s="11">
        <f>IF(E99="","",ROUND((E99+F99)*'Cost Rates'!$B$4,2))</f>
      </c>
      <c r="K99" s="11">
        <f>IF(D99="","",SUM(H99,I99,J99)+'Cost Rates'!$B$5)</f>
      </c>
      <c r="L99" s="11">
        <f>IF(D99="","",D99-K99)</f>
      </c>
      <c r="M99" s="12">
        <f>IF(OR(D99="",D99=0),"",L99/D99)</f>
      </c>
      <c r="N99" s="11">
        <f>IF((E99+F99)=0,"",ROUND(L99/(E99+F99),2))</f>
      </c>
    </row>
    <row r="100">
      <c r="H100" s="11">
        <f>IF(G100="","",ROUND(G100*'Cost Rates'!$B$3,2))</f>
      </c>
      <c r="J100" s="11">
        <f>IF(E100="","",ROUND((E100+F100)*'Cost Rates'!$B$4,2))</f>
      </c>
      <c r="K100" s="11">
        <f>IF(D100="","",SUM(H100,I100,J100)+'Cost Rates'!$B$5)</f>
      </c>
      <c r="L100" s="11">
        <f>IF(D100="","",D100-K100)</f>
      </c>
      <c r="M100" s="12">
        <f>IF(OR(D100="",D100=0),"",L100/D100)</f>
      </c>
      <c r="N100" s="11">
        <f>IF((E100+F100)=0,"",ROUND(L100/(E100+F100),2))</f>
      </c>
    </row>
    <row r="101">
      <c r="H101" s="11">
        <f>IF(G101="","",ROUND(G101*'Cost Rates'!$B$3,2))</f>
      </c>
      <c r="J101" s="11">
        <f>IF(E101="","",ROUND((E101+F101)*'Cost Rates'!$B$4,2))</f>
      </c>
      <c r="K101" s="11">
        <f>IF(D101="","",SUM(H101,I101,J101)+'Cost Rates'!$B$5)</f>
      </c>
      <c r="L101" s="11">
        <f>IF(D101="","",D101-K101)</f>
      </c>
      <c r="M101" s="12">
        <f>IF(OR(D101="",D101=0),"",L101/D101)</f>
      </c>
      <c r="N101" s="11">
        <f>IF((E101+F101)=0,"",ROUND(L101/(E101+F101),2))</f>
      </c>
    </row>
    <row r="102">
      <c r="H102" s="11">
        <f>IF(G102="","",ROUND(G102*'Cost Rates'!$B$3,2))</f>
      </c>
      <c r="J102" s="11">
        <f>IF(E102="","",ROUND((E102+F102)*'Cost Rates'!$B$4,2))</f>
      </c>
      <c r="K102" s="11">
        <f>IF(D102="","",SUM(H102,I102,J102)+'Cost Rates'!$B$5)</f>
      </c>
      <c r="L102" s="11">
        <f>IF(D102="","",D102-K102)</f>
      </c>
      <c r="M102" s="12">
        <f>IF(OR(D102="",D102=0),"",L102/D102)</f>
      </c>
      <c r="N102" s="11">
        <f>IF((E102+F102)=0,"",ROUND(L102/(E102+F102),2))</f>
      </c>
    </row>
    <row r="103">
      <c r="H103" s="11">
        <f>IF(G103="","",ROUND(G103*'Cost Rates'!$B$3,2))</f>
      </c>
      <c r="J103" s="11">
        <f>IF(E103="","",ROUND((E103+F103)*'Cost Rates'!$B$4,2))</f>
      </c>
      <c r="K103" s="11">
        <f>IF(D103="","",SUM(H103,I103,J103)+'Cost Rates'!$B$5)</f>
      </c>
      <c r="L103" s="11">
        <f>IF(D103="","",D103-K103)</f>
      </c>
      <c r="M103" s="12">
        <f>IF(OR(D103="",D103=0),"",L103/D103)</f>
      </c>
      <c r="N103" s="11">
        <f>IF((E103+F103)=0,"",ROUND(L103/(E103+F103),2))</f>
      </c>
    </row>
    <row r="104">
      <c r="H104" s="11">
        <f>IF(G104="","",ROUND(G104*'Cost Rates'!$B$3,2))</f>
      </c>
      <c r="J104" s="11">
        <f>IF(E104="","",ROUND((E104+F104)*'Cost Rates'!$B$4,2))</f>
      </c>
      <c r="K104" s="11">
        <f>IF(D104="","",SUM(H104,I104,J104)+'Cost Rates'!$B$5)</f>
      </c>
      <c r="L104" s="11">
        <f>IF(D104="","",D104-K104)</f>
      </c>
      <c r="M104" s="12">
        <f>IF(OR(D104="",D104=0),"",L104/D104)</f>
      </c>
      <c r="N104" s="11">
        <f>IF((E104+F104)=0,"",ROUND(L104/(E104+F104),2))</f>
      </c>
    </row>
    <row r="105">
      <c r="H105" s="11">
        <f>IF(G105="","",ROUND(G105*'Cost Rates'!$B$3,2))</f>
      </c>
      <c r="J105" s="11">
        <f>IF(E105="","",ROUND((E105+F105)*'Cost Rates'!$B$4,2))</f>
      </c>
      <c r="K105" s="11">
        <f>IF(D105="","",SUM(H105,I105,J105)+'Cost Rates'!$B$5)</f>
      </c>
      <c r="L105" s="11">
        <f>IF(D105="","",D105-K105)</f>
      </c>
      <c r="M105" s="12">
        <f>IF(OR(D105="",D105=0),"",L105/D105)</f>
      </c>
      <c r="N105" s="11">
        <f>IF((E105+F105)=0,"",ROUND(L105/(E105+F105),2))</f>
      </c>
    </row>
    <row r="106">
      <c r="H106" s="11">
        <f>IF(G106="","",ROUND(G106*'Cost Rates'!$B$3,2))</f>
      </c>
      <c r="J106" s="11">
        <f>IF(E106="","",ROUND((E106+F106)*'Cost Rates'!$B$4,2))</f>
      </c>
      <c r="K106" s="11">
        <f>IF(D106="","",SUM(H106,I106,J106)+'Cost Rates'!$B$5)</f>
      </c>
      <c r="L106" s="11">
        <f>IF(D106="","",D106-K106)</f>
      </c>
      <c r="M106" s="12">
        <f>IF(OR(D106="",D106=0),"",L106/D106)</f>
      </c>
      <c r="N106" s="11">
        <f>IF((E106+F106)=0,"",ROUND(L106/(E106+F106),2))</f>
      </c>
    </row>
    <row r="107">
      <c r="H107" s="11">
        <f>IF(G107="","",ROUND(G107*'Cost Rates'!$B$3,2))</f>
      </c>
      <c r="J107" s="11">
        <f>IF(E107="","",ROUND((E107+F107)*'Cost Rates'!$B$4,2))</f>
      </c>
      <c r="K107" s="11">
        <f>IF(D107="","",SUM(H107,I107,J107)+'Cost Rates'!$B$5)</f>
      </c>
      <c r="L107" s="11">
        <f>IF(D107="","",D107-K107)</f>
      </c>
      <c r="M107" s="12">
        <f>IF(OR(D107="",D107=0),"",L107/D107)</f>
      </c>
      <c r="N107" s="11">
        <f>IF((E107+F107)=0,"",ROUND(L107/(E107+F107),2))</f>
      </c>
    </row>
    <row r="108">
      <c r="H108" s="11">
        <f>IF(G108="","",ROUND(G108*'Cost Rates'!$B$3,2))</f>
      </c>
      <c r="J108" s="11">
        <f>IF(E108="","",ROUND((E108+F108)*'Cost Rates'!$B$4,2))</f>
      </c>
      <c r="K108" s="11">
        <f>IF(D108="","",SUM(H108,I108,J108)+'Cost Rates'!$B$5)</f>
      </c>
      <c r="L108" s="11">
        <f>IF(D108="","",D108-K108)</f>
      </c>
      <c r="M108" s="12">
        <f>IF(OR(D108="",D108=0),"",L108/D108)</f>
      </c>
      <c r="N108" s="11">
        <f>IF((E108+F108)=0,"",ROUND(L108/(E108+F108),2))</f>
      </c>
    </row>
    <row r="109">
      <c r="H109" s="11">
        <f>IF(G109="","",ROUND(G109*'Cost Rates'!$B$3,2))</f>
      </c>
      <c r="J109" s="11">
        <f>IF(E109="","",ROUND((E109+F109)*'Cost Rates'!$B$4,2))</f>
      </c>
      <c r="K109" s="11">
        <f>IF(D109="","",SUM(H109,I109,J109)+'Cost Rates'!$B$5)</f>
      </c>
      <c r="L109" s="11">
        <f>IF(D109="","",D109-K109)</f>
      </c>
      <c r="M109" s="12">
        <f>IF(OR(D109="",D109=0),"",L109/D109)</f>
      </c>
      <c r="N109" s="11">
        <f>IF((E109+F109)=0,"",ROUND(L109/(E109+F109),2))</f>
      </c>
    </row>
    <row r="110">
      <c r="H110" s="11">
        <f>IF(G110="","",ROUND(G110*'Cost Rates'!$B$3,2))</f>
      </c>
      <c r="J110" s="11">
        <f>IF(E110="","",ROUND((E110+F110)*'Cost Rates'!$B$4,2))</f>
      </c>
      <c r="K110" s="11">
        <f>IF(D110="","",SUM(H110,I110,J110)+'Cost Rates'!$B$5)</f>
      </c>
      <c r="L110" s="11">
        <f>IF(D110="","",D110-K110)</f>
      </c>
      <c r="M110" s="12">
        <f>IF(OR(D110="",D110=0),"",L110/D110)</f>
      </c>
      <c r="N110" s="11">
        <f>IF((E110+F110)=0,"",ROUND(L110/(E110+F110),2))</f>
      </c>
    </row>
    <row r="111">
      <c r="H111" s="11">
        <f>IF(G111="","",ROUND(G111*'Cost Rates'!$B$3,2))</f>
      </c>
      <c r="J111" s="11">
        <f>IF(E111="","",ROUND((E111+F111)*'Cost Rates'!$B$4,2))</f>
      </c>
      <c r="K111" s="11">
        <f>IF(D111="","",SUM(H111,I111,J111)+'Cost Rates'!$B$5)</f>
      </c>
      <c r="L111" s="11">
        <f>IF(D111="","",D111-K111)</f>
      </c>
      <c r="M111" s="12">
        <f>IF(OR(D111="",D111=0),"",L111/D111)</f>
      </c>
      <c r="N111" s="11">
        <f>IF((E111+F111)=0,"",ROUND(L111/(E111+F111),2))</f>
      </c>
    </row>
    <row r="112">
      <c r="H112" s="11">
        <f>IF(G112="","",ROUND(G112*'Cost Rates'!$B$3,2))</f>
      </c>
      <c r="J112" s="11">
        <f>IF(E112="","",ROUND((E112+F112)*'Cost Rates'!$B$4,2))</f>
      </c>
      <c r="K112" s="11">
        <f>IF(D112="","",SUM(H112,I112,J112)+'Cost Rates'!$B$5)</f>
      </c>
      <c r="L112" s="11">
        <f>IF(D112="","",D112-K112)</f>
      </c>
      <c r="M112" s="12">
        <f>IF(OR(D112="",D112=0),"",L112/D112)</f>
      </c>
      <c r="N112" s="11">
        <f>IF((E112+F112)=0,"",ROUND(L112/(E112+F112),2))</f>
      </c>
    </row>
    <row r="113">
      <c r="H113" s="11">
        <f>IF(G113="","",ROUND(G113*'Cost Rates'!$B$3,2))</f>
      </c>
      <c r="J113" s="11">
        <f>IF(E113="","",ROUND((E113+F113)*'Cost Rates'!$B$4,2))</f>
      </c>
      <c r="K113" s="11">
        <f>IF(D113="","",SUM(H113,I113,J113)+'Cost Rates'!$B$5)</f>
      </c>
      <c r="L113" s="11">
        <f>IF(D113="","",D113-K113)</f>
      </c>
      <c r="M113" s="12">
        <f>IF(OR(D113="",D113=0),"",L113/D113)</f>
      </c>
      <c r="N113" s="11">
        <f>IF((E113+F113)=0,"",ROUND(L113/(E113+F113),2))</f>
      </c>
    </row>
    <row r="114">
      <c r="H114" s="11">
        <f>IF(G114="","",ROUND(G114*'Cost Rates'!$B$3,2))</f>
      </c>
      <c r="J114" s="11">
        <f>IF(E114="","",ROUND((E114+F114)*'Cost Rates'!$B$4,2))</f>
      </c>
      <c r="K114" s="11">
        <f>IF(D114="","",SUM(H114,I114,J114)+'Cost Rates'!$B$5)</f>
      </c>
      <c r="L114" s="11">
        <f>IF(D114="","",D114-K114)</f>
      </c>
      <c r="M114" s="12">
        <f>IF(OR(D114="",D114=0),"",L114/D114)</f>
      </c>
      <c r="N114" s="11">
        <f>IF((E114+F114)=0,"",ROUND(L114/(E114+F114),2))</f>
      </c>
    </row>
    <row r="115">
      <c r="H115" s="11">
        <f>IF(G115="","",ROUND(G115*'Cost Rates'!$B$3,2))</f>
      </c>
      <c r="J115" s="11">
        <f>IF(E115="","",ROUND((E115+F115)*'Cost Rates'!$B$4,2))</f>
      </c>
      <c r="K115" s="11">
        <f>IF(D115="","",SUM(H115,I115,J115)+'Cost Rates'!$B$5)</f>
      </c>
      <c r="L115" s="11">
        <f>IF(D115="","",D115-K115)</f>
      </c>
      <c r="M115" s="12">
        <f>IF(OR(D115="",D115=0),"",L115/D115)</f>
      </c>
      <c r="N115" s="11">
        <f>IF((E115+F115)=0,"",ROUND(L115/(E115+F115),2))</f>
      </c>
    </row>
    <row r="116">
      <c r="H116" s="11">
        <f>IF(G116="","",ROUND(G116*'Cost Rates'!$B$3,2))</f>
      </c>
      <c r="J116" s="11">
        <f>IF(E116="","",ROUND((E116+F116)*'Cost Rates'!$B$4,2))</f>
      </c>
      <c r="K116" s="11">
        <f>IF(D116="","",SUM(H116,I116,J116)+'Cost Rates'!$B$5)</f>
      </c>
      <c r="L116" s="11">
        <f>IF(D116="","",D116-K116)</f>
      </c>
      <c r="M116" s="12">
        <f>IF(OR(D116="",D116=0),"",L116/D116)</f>
      </c>
      <c r="N116" s="11">
        <f>IF((E116+F116)=0,"",ROUND(L116/(E116+F116),2))</f>
      </c>
    </row>
    <row r="117">
      <c r="H117" s="11">
        <f>IF(G117="","",ROUND(G117*'Cost Rates'!$B$3,2))</f>
      </c>
      <c r="J117" s="11">
        <f>IF(E117="","",ROUND((E117+F117)*'Cost Rates'!$B$4,2))</f>
      </c>
      <c r="K117" s="11">
        <f>IF(D117="","",SUM(H117,I117,J117)+'Cost Rates'!$B$5)</f>
      </c>
      <c r="L117" s="11">
        <f>IF(D117="","",D117-K117)</f>
      </c>
      <c r="M117" s="12">
        <f>IF(OR(D117="",D117=0),"",L117/D117)</f>
      </c>
      <c r="N117" s="11">
        <f>IF((E117+F117)=0,"",ROUND(L117/(E117+F117),2))</f>
      </c>
    </row>
    <row r="118">
      <c r="H118" s="11">
        <f>IF(G118="","",ROUND(G118*'Cost Rates'!$B$3,2))</f>
      </c>
      <c r="J118" s="11">
        <f>IF(E118="","",ROUND((E118+F118)*'Cost Rates'!$B$4,2))</f>
      </c>
      <c r="K118" s="11">
        <f>IF(D118="","",SUM(H118,I118,J118)+'Cost Rates'!$B$5)</f>
      </c>
      <c r="L118" s="11">
        <f>IF(D118="","",D118-K118)</f>
      </c>
      <c r="M118" s="12">
        <f>IF(OR(D118="",D118=0),"",L118/D118)</f>
      </c>
      <c r="N118" s="11">
        <f>IF((E118+F118)=0,"",ROUND(L118/(E118+F118),2))</f>
      </c>
    </row>
    <row r="119">
      <c r="H119" s="11">
        <f>IF(G119="","",ROUND(G119*'Cost Rates'!$B$3,2))</f>
      </c>
      <c r="J119" s="11">
        <f>IF(E119="","",ROUND((E119+F119)*'Cost Rates'!$B$4,2))</f>
      </c>
      <c r="K119" s="11">
        <f>IF(D119="","",SUM(H119,I119,J119)+'Cost Rates'!$B$5)</f>
      </c>
      <c r="L119" s="11">
        <f>IF(D119="","",D119-K119)</f>
      </c>
      <c r="M119" s="12">
        <f>IF(OR(D119="",D119=0),"",L119/D119)</f>
      </c>
      <c r="N119" s="11">
        <f>IF((E119+F119)=0,"",ROUND(L119/(E119+F119),2))</f>
      </c>
    </row>
    <row r="120">
      <c r="H120" s="11">
        <f>IF(G120="","",ROUND(G120*'Cost Rates'!$B$3,2))</f>
      </c>
      <c r="J120" s="11">
        <f>IF(E120="","",ROUND((E120+F120)*'Cost Rates'!$B$4,2))</f>
      </c>
      <c r="K120" s="11">
        <f>IF(D120="","",SUM(H120,I120,J120)+'Cost Rates'!$B$5)</f>
      </c>
      <c r="L120" s="11">
        <f>IF(D120="","",D120-K120)</f>
      </c>
      <c r="M120" s="12">
        <f>IF(OR(D120="",D120=0),"",L120/D120)</f>
      </c>
      <c r="N120" s="11">
        <f>IF((E120+F120)=0,"",ROUND(L120/(E120+F120),2))</f>
      </c>
    </row>
    <row r="121">
      <c r="H121" s="11">
        <f>IF(G121="","",ROUND(G121*'Cost Rates'!$B$3,2))</f>
      </c>
      <c r="J121" s="11">
        <f>IF(E121="","",ROUND((E121+F121)*'Cost Rates'!$B$4,2))</f>
      </c>
      <c r="K121" s="11">
        <f>IF(D121="","",SUM(H121,I121,J121)+'Cost Rates'!$B$5)</f>
      </c>
      <c r="L121" s="11">
        <f>IF(D121="","",D121-K121)</f>
      </c>
      <c r="M121" s="12">
        <f>IF(OR(D121="",D121=0),"",L121/D121)</f>
      </c>
      <c r="N121" s="11">
        <f>IF((E121+F121)=0,"",ROUND(L121/(E121+F121),2))</f>
      </c>
    </row>
    <row r="122">
      <c r="H122" s="11">
        <f>IF(G122="","",ROUND(G122*'Cost Rates'!$B$3,2))</f>
      </c>
      <c r="J122" s="11">
        <f>IF(E122="","",ROUND((E122+F122)*'Cost Rates'!$B$4,2))</f>
      </c>
      <c r="K122" s="11">
        <f>IF(D122="","",SUM(H122,I122,J122)+'Cost Rates'!$B$5)</f>
      </c>
      <c r="L122" s="11">
        <f>IF(D122="","",D122-K122)</f>
      </c>
      <c r="M122" s="12">
        <f>IF(OR(D122="",D122=0),"",L122/D122)</f>
      </c>
      <c r="N122" s="11">
        <f>IF((E122+F122)=0,"",ROUND(L122/(E122+F122),2))</f>
      </c>
    </row>
    <row r="123">
      <c r="H123" s="11">
        <f>IF(G123="","",ROUND(G123*'Cost Rates'!$B$3,2))</f>
      </c>
      <c r="J123" s="11">
        <f>IF(E123="","",ROUND((E123+F123)*'Cost Rates'!$B$4,2))</f>
      </c>
      <c r="K123" s="11">
        <f>IF(D123="","",SUM(H123,I123,J123)+'Cost Rates'!$B$5)</f>
      </c>
      <c r="L123" s="11">
        <f>IF(D123="","",D123-K123)</f>
      </c>
      <c r="M123" s="12">
        <f>IF(OR(D123="",D123=0),"",L123/D123)</f>
      </c>
      <c r="N123" s="11">
        <f>IF((E123+F123)=0,"",ROUND(L123/(E123+F123),2))</f>
      </c>
    </row>
    <row r="124">
      <c r="H124" s="11">
        <f>IF(G124="","",ROUND(G124*'Cost Rates'!$B$3,2))</f>
      </c>
      <c r="J124" s="11">
        <f>IF(E124="","",ROUND((E124+F124)*'Cost Rates'!$B$4,2))</f>
      </c>
      <c r="K124" s="11">
        <f>IF(D124="","",SUM(H124,I124,J124)+'Cost Rates'!$B$5)</f>
      </c>
      <c r="L124" s="11">
        <f>IF(D124="","",D124-K124)</f>
      </c>
      <c r="M124" s="12">
        <f>IF(OR(D124="",D124=0),"",L124/D124)</f>
      </c>
      <c r="N124" s="11">
        <f>IF((E124+F124)=0,"",ROUND(L124/(E124+F124),2))</f>
      </c>
    </row>
    <row r="125">
      <c r="H125" s="11">
        <f>IF(G125="","",ROUND(G125*'Cost Rates'!$B$3,2))</f>
      </c>
      <c r="J125" s="11">
        <f>IF(E125="","",ROUND((E125+F125)*'Cost Rates'!$B$4,2))</f>
      </c>
      <c r="K125" s="11">
        <f>IF(D125="","",SUM(H125,I125,J125)+'Cost Rates'!$B$5)</f>
      </c>
      <c r="L125" s="11">
        <f>IF(D125="","",D125-K125)</f>
      </c>
      <c r="M125" s="12">
        <f>IF(OR(D125="",D125=0),"",L125/D125)</f>
      </c>
      <c r="N125" s="11">
        <f>IF((E125+F125)=0,"",ROUND(L125/(E125+F125),2))</f>
      </c>
    </row>
    <row r="126">
      <c r="H126" s="11">
        <f>IF(G126="","",ROUND(G126*'Cost Rates'!$B$3,2))</f>
      </c>
      <c r="J126" s="11">
        <f>IF(E126="","",ROUND((E126+F126)*'Cost Rates'!$B$4,2))</f>
      </c>
      <c r="K126" s="11">
        <f>IF(D126="","",SUM(H126,I126,J126)+'Cost Rates'!$B$5)</f>
      </c>
      <c r="L126" s="11">
        <f>IF(D126="","",D126-K126)</f>
      </c>
      <c r="M126" s="12">
        <f>IF(OR(D126="",D126=0),"",L126/D126)</f>
      </c>
      <c r="N126" s="11">
        <f>IF((E126+F126)=0,"",ROUND(L126/(E126+F126),2))</f>
      </c>
    </row>
    <row r="127">
      <c r="H127" s="11">
        <f>IF(G127="","",ROUND(G127*'Cost Rates'!$B$3,2))</f>
      </c>
      <c r="J127" s="11">
        <f>IF(E127="","",ROUND((E127+F127)*'Cost Rates'!$B$4,2))</f>
      </c>
      <c r="K127" s="11">
        <f>IF(D127="","",SUM(H127,I127,J127)+'Cost Rates'!$B$5)</f>
      </c>
      <c r="L127" s="11">
        <f>IF(D127="","",D127-K127)</f>
      </c>
      <c r="M127" s="12">
        <f>IF(OR(D127="",D127=0),"",L127/D127)</f>
      </c>
      <c r="N127" s="11">
        <f>IF((E127+F127)=0,"",ROUND(L127/(E127+F127),2))</f>
      </c>
    </row>
    <row r="128">
      <c r="H128" s="11">
        <f>IF(G128="","",ROUND(G128*'Cost Rates'!$B$3,2))</f>
      </c>
      <c r="J128" s="11">
        <f>IF(E128="","",ROUND((E128+F128)*'Cost Rates'!$B$4,2))</f>
      </c>
      <c r="K128" s="11">
        <f>IF(D128="","",SUM(H128,I128,J128)+'Cost Rates'!$B$5)</f>
      </c>
      <c r="L128" s="11">
        <f>IF(D128="","",D128-K128)</f>
      </c>
      <c r="M128" s="12">
        <f>IF(OR(D128="",D128=0),"",L128/D128)</f>
      </c>
      <c r="N128" s="11">
        <f>IF((E128+F128)=0,"",ROUND(L128/(E128+F128),2))</f>
      </c>
    </row>
    <row r="129">
      <c r="H129" s="11">
        <f>IF(G129="","",ROUND(G129*'Cost Rates'!$B$3,2))</f>
      </c>
      <c r="J129" s="11">
        <f>IF(E129="","",ROUND((E129+F129)*'Cost Rates'!$B$4,2))</f>
      </c>
      <c r="K129" s="11">
        <f>IF(D129="","",SUM(H129,I129,J129)+'Cost Rates'!$B$5)</f>
      </c>
      <c r="L129" s="11">
        <f>IF(D129="","",D129-K129)</f>
      </c>
      <c r="M129" s="12">
        <f>IF(OR(D129="",D129=0),"",L129/D129)</f>
      </c>
      <c r="N129" s="11">
        <f>IF((E129+F129)=0,"",ROUND(L129/(E129+F129),2))</f>
      </c>
    </row>
    <row r="130">
      <c r="H130" s="11">
        <f>IF(G130="","",ROUND(G130*'Cost Rates'!$B$3,2))</f>
      </c>
      <c r="J130" s="11">
        <f>IF(E130="","",ROUND((E130+F130)*'Cost Rates'!$B$4,2))</f>
      </c>
      <c r="K130" s="11">
        <f>IF(D130="","",SUM(H130,I130,J130)+'Cost Rates'!$B$5)</f>
      </c>
      <c r="L130" s="11">
        <f>IF(D130="","",D130-K130)</f>
      </c>
      <c r="M130" s="12">
        <f>IF(OR(D130="",D130=0),"",L130/D130)</f>
      </c>
      <c r="N130" s="11">
        <f>IF((E130+F130)=0,"",ROUND(L130/(E130+F130),2))</f>
      </c>
    </row>
    <row r="131">
      <c r="H131" s="11">
        <f>IF(G131="","",ROUND(G131*'Cost Rates'!$B$3,2))</f>
      </c>
      <c r="J131" s="11">
        <f>IF(E131="","",ROUND((E131+F131)*'Cost Rates'!$B$4,2))</f>
      </c>
      <c r="K131" s="11">
        <f>IF(D131="","",SUM(H131,I131,J131)+'Cost Rates'!$B$5)</f>
      </c>
      <c r="L131" s="11">
        <f>IF(D131="","",D131-K131)</f>
      </c>
      <c r="M131" s="12">
        <f>IF(OR(D131="",D131=0),"",L131/D131)</f>
      </c>
      <c r="N131" s="11">
        <f>IF((E131+F131)=0,"",ROUND(L131/(E131+F131),2))</f>
      </c>
    </row>
    <row r="132">
      <c r="H132" s="11">
        <f>IF(G132="","",ROUND(G132*'Cost Rates'!$B$3,2))</f>
      </c>
      <c r="J132" s="11">
        <f>IF(E132="","",ROUND((E132+F132)*'Cost Rates'!$B$4,2))</f>
      </c>
      <c r="K132" s="11">
        <f>IF(D132="","",SUM(H132,I132,J132)+'Cost Rates'!$B$5)</f>
      </c>
      <c r="L132" s="11">
        <f>IF(D132="","",D132-K132)</f>
      </c>
      <c r="M132" s="12">
        <f>IF(OR(D132="",D132=0),"",L132/D132)</f>
      </c>
      <c r="N132" s="11">
        <f>IF((E132+F132)=0,"",ROUND(L132/(E132+F132),2))</f>
      </c>
    </row>
    <row r="133">
      <c r="H133" s="11">
        <f>IF(G133="","",ROUND(G133*'Cost Rates'!$B$3,2))</f>
      </c>
      <c r="J133" s="11">
        <f>IF(E133="","",ROUND((E133+F133)*'Cost Rates'!$B$4,2))</f>
      </c>
      <c r="K133" s="11">
        <f>IF(D133="","",SUM(H133,I133,J133)+'Cost Rates'!$B$5)</f>
      </c>
      <c r="L133" s="11">
        <f>IF(D133="","",D133-K133)</f>
      </c>
      <c r="M133" s="12">
        <f>IF(OR(D133="",D133=0),"",L133/D133)</f>
      </c>
      <c r="N133" s="11">
        <f>IF((E133+F133)=0,"",ROUND(L133/(E133+F133),2))</f>
      </c>
    </row>
    <row r="134">
      <c r="H134" s="11">
        <f>IF(G134="","",ROUND(G134*'Cost Rates'!$B$3,2))</f>
      </c>
      <c r="J134" s="11">
        <f>IF(E134="","",ROUND((E134+F134)*'Cost Rates'!$B$4,2))</f>
      </c>
      <c r="K134" s="11">
        <f>IF(D134="","",SUM(H134,I134,J134)+'Cost Rates'!$B$5)</f>
      </c>
      <c r="L134" s="11">
        <f>IF(D134="","",D134-K134)</f>
      </c>
      <c r="M134" s="12">
        <f>IF(OR(D134="",D134=0),"",L134/D134)</f>
      </c>
      <c r="N134" s="11">
        <f>IF((E134+F134)=0,"",ROUND(L134/(E134+F134),2))</f>
      </c>
    </row>
    <row r="135">
      <c r="H135" s="11">
        <f>IF(G135="","",ROUND(G135*'Cost Rates'!$B$3,2))</f>
      </c>
      <c r="J135" s="11">
        <f>IF(E135="","",ROUND((E135+F135)*'Cost Rates'!$B$4,2))</f>
      </c>
      <c r="K135" s="11">
        <f>IF(D135="","",SUM(H135,I135,J135)+'Cost Rates'!$B$5)</f>
      </c>
      <c r="L135" s="11">
        <f>IF(D135="","",D135-K135)</f>
      </c>
      <c r="M135" s="12">
        <f>IF(OR(D135="",D135=0),"",L135/D135)</f>
      </c>
      <c r="N135" s="11">
        <f>IF((E135+F135)=0,"",ROUND(L135/(E135+F135),2))</f>
      </c>
    </row>
    <row r="136">
      <c r="H136" s="11">
        <f>IF(G136="","",ROUND(G136*'Cost Rates'!$B$3,2))</f>
      </c>
      <c r="J136" s="11">
        <f>IF(E136="","",ROUND((E136+F136)*'Cost Rates'!$B$4,2))</f>
      </c>
      <c r="K136" s="11">
        <f>IF(D136="","",SUM(H136,I136,J136)+'Cost Rates'!$B$5)</f>
      </c>
      <c r="L136" s="11">
        <f>IF(D136="","",D136-K136)</f>
      </c>
      <c r="M136" s="12">
        <f>IF(OR(D136="",D136=0),"",L136/D136)</f>
      </c>
      <c r="N136" s="11">
        <f>IF((E136+F136)=0,"",ROUND(L136/(E136+F136),2))</f>
      </c>
    </row>
    <row r="137">
      <c r="H137" s="11">
        <f>IF(G137="","",ROUND(G137*'Cost Rates'!$B$3,2))</f>
      </c>
      <c r="J137" s="11">
        <f>IF(E137="","",ROUND((E137+F137)*'Cost Rates'!$B$4,2))</f>
      </c>
      <c r="K137" s="11">
        <f>IF(D137="","",SUM(H137,I137,J137)+'Cost Rates'!$B$5)</f>
      </c>
      <c r="L137" s="11">
        <f>IF(D137="","",D137-K137)</f>
      </c>
      <c r="M137" s="12">
        <f>IF(OR(D137="",D137=0),"",L137/D137)</f>
      </c>
      <c r="N137" s="11">
        <f>IF((E137+F137)=0,"",ROUND(L137/(E137+F137),2))</f>
      </c>
    </row>
    <row r="138">
      <c r="H138" s="11">
        <f>IF(G138="","",ROUND(G138*'Cost Rates'!$B$3,2))</f>
      </c>
      <c r="J138" s="11">
        <f>IF(E138="","",ROUND((E138+F138)*'Cost Rates'!$B$4,2))</f>
      </c>
      <c r="K138" s="11">
        <f>IF(D138="","",SUM(H138,I138,J138)+'Cost Rates'!$B$5)</f>
      </c>
      <c r="L138" s="11">
        <f>IF(D138="","",D138-K138)</f>
      </c>
      <c r="M138" s="12">
        <f>IF(OR(D138="",D138=0),"",L138/D138)</f>
      </c>
      <c r="N138" s="11">
        <f>IF((E138+F138)=0,"",ROUND(L138/(E138+F138),2))</f>
      </c>
    </row>
    <row r="139">
      <c r="H139" s="11">
        <f>IF(G139="","",ROUND(G139*'Cost Rates'!$B$3,2))</f>
      </c>
      <c r="J139" s="11">
        <f>IF(E139="","",ROUND((E139+F139)*'Cost Rates'!$B$4,2))</f>
      </c>
      <c r="K139" s="11">
        <f>IF(D139="","",SUM(H139,I139,J139)+'Cost Rates'!$B$5)</f>
      </c>
      <c r="L139" s="11">
        <f>IF(D139="","",D139-K139)</f>
      </c>
      <c r="M139" s="12">
        <f>IF(OR(D139="",D139=0),"",L139/D139)</f>
      </c>
      <c r="N139" s="11">
        <f>IF((E139+F139)=0,"",ROUND(L139/(E139+F139),2))</f>
      </c>
    </row>
    <row r="140">
      <c r="H140" s="11">
        <f>IF(G140="","",ROUND(G140*'Cost Rates'!$B$3,2))</f>
      </c>
      <c r="J140" s="11">
        <f>IF(E140="","",ROUND((E140+F140)*'Cost Rates'!$B$4,2))</f>
      </c>
      <c r="K140" s="11">
        <f>IF(D140="","",SUM(H140,I140,J140)+'Cost Rates'!$B$5)</f>
      </c>
      <c r="L140" s="11">
        <f>IF(D140="","",D140-K140)</f>
      </c>
      <c r="M140" s="12">
        <f>IF(OR(D140="",D140=0),"",L140/D140)</f>
      </c>
      <c r="N140" s="11">
        <f>IF((E140+F140)=0,"",ROUND(L140/(E140+F140),2))</f>
      </c>
    </row>
    <row r="141">
      <c r="H141" s="11">
        <f>IF(G141="","",ROUND(G141*'Cost Rates'!$B$3,2))</f>
      </c>
      <c r="J141" s="11">
        <f>IF(E141="","",ROUND((E141+F141)*'Cost Rates'!$B$4,2))</f>
      </c>
      <c r="K141" s="11">
        <f>IF(D141="","",SUM(H141,I141,J141)+'Cost Rates'!$B$5)</f>
      </c>
      <c r="L141" s="11">
        <f>IF(D141="","",D141-K141)</f>
      </c>
      <c r="M141" s="12">
        <f>IF(OR(D141="",D141=0),"",L141/D141)</f>
      </c>
      <c r="N141" s="11">
        <f>IF((E141+F141)=0,"",ROUND(L141/(E141+F141),2))</f>
      </c>
    </row>
    <row r="142">
      <c r="H142" s="11">
        <f>IF(G142="","",ROUND(G142*'Cost Rates'!$B$3,2))</f>
      </c>
      <c r="J142" s="11">
        <f>IF(E142="","",ROUND((E142+F142)*'Cost Rates'!$B$4,2))</f>
      </c>
      <c r="K142" s="11">
        <f>IF(D142="","",SUM(H142,I142,J142)+'Cost Rates'!$B$5)</f>
      </c>
      <c r="L142" s="11">
        <f>IF(D142="","",D142-K142)</f>
      </c>
      <c r="M142" s="12">
        <f>IF(OR(D142="",D142=0),"",L142/D142)</f>
      </c>
      <c r="N142" s="11">
        <f>IF((E142+F142)=0,"",ROUND(L142/(E142+F142),2))</f>
      </c>
    </row>
    <row r="143">
      <c r="H143" s="11">
        <f>IF(G143="","",ROUND(G143*'Cost Rates'!$B$3,2))</f>
      </c>
      <c r="J143" s="11">
        <f>IF(E143="","",ROUND((E143+F143)*'Cost Rates'!$B$4,2))</f>
      </c>
      <c r="K143" s="11">
        <f>IF(D143="","",SUM(H143,I143,J143)+'Cost Rates'!$B$5)</f>
      </c>
      <c r="L143" s="11">
        <f>IF(D143="","",D143-K143)</f>
      </c>
      <c r="M143" s="12">
        <f>IF(OR(D143="",D143=0),"",L143/D143)</f>
      </c>
      <c r="N143" s="11">
        <f>IF((E143+F143)=0,"",ROUND(L143/(E143+F143),2))</f>
      </c>
    </row>
    <row r="144">
      <c r="H144" s="11">
        <f>IF(G144="","",ROUND(G144*'Cost Rates'!$B$3,2))</f>
      </c>
      <c r="J144" s="11">
        <f>IF(E144="","",ROUND((E144+F144)*'Cost Rates'!$B$4,2))</f>
      </c>
      <c r="K144" s="11">
        <f>IF(D144="","",SUM(H144,I144,J144)+'Cost Rates'!$B$5)</f>
      </c>
      <c r="L144" s="11">
        <f>IF(D144="","",D144-K144)</f>
      </c>
      <c r="M144" s="12">
        <f>IF(OR(D144="",D144=0),"",L144/D144)</f>
      </c>
      <c r="N144" s="11">
        <f>IF((E144+F144)=0,"",ROUND(L144/(E144+F144),2))</f>
      </c>
    </row>
    <row r="145">
      <c r="H145" s="11">
        <f>IF(G145="","",ROUND(G145*'Cost Rates'!$B$3,2))</f>
      </c>
      <c r="J145" s="11">
        <f>IF(E145="","",ROUND((E145+F145)*'Cost Rates'!$B$4,2))</f>
      </c>
      <c r="K145" s="11">
        <f>IF(D145="","",SUM(H145,I145,J145)+'Cost Rates'!$B$5)</f>
      </c>
      <c r="L145" s="11">
        <f>IF(D145="","",D145-K145)</f>
      </c>
      <c r="M145" s="12">
        <f>IF(OR(D145="",D145=0),"",L145/D145)</f>
      </c>
      <c r="N145" s="11">
        <f>IF((E145+F145)=0,"",ROUND(L145/(E145+F145),2))</f>
      </c>
    </row>
    <row r="146">
      <c r="H146" s="11">
        <f>IF(G146="","",ROUND(G146*'Cost Rates'!$B$3,2))</f>
      </c>
      <c r="J146" s="11">
        <f>IF(E146="","",ROUND((E146+F146)*'Cost Rates'!$B$4,2))</f>
      </c>
      <c r="K146" s="11">
        <f>IF(D146="","",SUM(H146,I146,J146)+'Cost Rates'!$B$5)</f>
      </c>
      <c r="L146" s="11">
        <f>IF(D146="","",D146-K146)</f>
      </c>
      <c r="M146" s="12">
        <f>IF(OR(D146="",D146=0),"",L146/D146)</f>
      </c>
      <c r="N146" s="11">
        <f>IF((E146+F146)=0,"",ROUND(L146/(E146+F146),2))</f>
      </c>
    </row>
    <row r="147">
      <c r="H147" s="11">
        <f>IF(G147="","",ROUND(G147*'Cost Rates'!$B$3,2))</f>
      </c>
      <c r="J147" s="11">
        <f>IF(E147="","",ROUND((E147+F147)*'Cost Rates'!$B$4,2))</f>
      </c>
      <c r="K147" s="11">
        <f>IF(D147="","",SUM(H147,I147,J147)+'Cost Rates'!$B$5)</f>
      </c>
      <c r="L147" s="11">
        <f>IF(D147="","",D147-K147)</f>
      </c>
      <c r="M147" s="12">
        <f>IF(OR(D147="",D147=0),"",L147/D147)</f>
      </c>
      <c r="N147" s="11">
        <f>IF((E147+F147)=0,"",ROUND(L147/(E147+F147),2))</f>
      </c>
    </row>
    <row r="148">
      <c r="H148" s="11">
        <f>IF(G148="","",ROUND(G148*'Cost Rates'!$B$3,2))</f>
      </c>
      <c r="J148" s="11">
        <f>IF(E148="","",ROUND((E148+F148)*'Cost Rates'!$B$4,2))</f>
      </c>
      <c r="K148" s="11">
        <f>IF(D148="","",SUM(H148,I148,J148)+'Cost Rates'!$B$5)</f>
      </c>
      <c r="L148" s="11">
        <f>IF(D148="","",D148-K148)</f>
      </c>
      <c r="M148" s="12">
        <f>IF(OR(D148="",D148=0),"",L148/D148)</f>
      </c>
      <c r="N148" s="11">
        <f>IF((E148+F148)=0,"",ROUND(L148/(E148+F148),2))</f>
      </c>
    </row>
    <row r="149">
      <c r="H149" s="11">
        <f>IF(G149="","",ROUND(G149*'Cost Rates'!$B$3,2))</f>
      </c>
      <c r="J149" s="11">
        <f>IF(E149="","",ROUND((E149+F149)*'Cost Rates'!$B$4,2))</f>
      </c>
      <c r="K149" s="11">
        <f>IF(D149="","",SUM(H149,I149,J149)+'Cost Rates'!$B$5)</f>
      </c>
      <c r="L149" s="11">
        <f>IF(D149="","",D149-K149)</f>
      </c>
      <c r="M149" s="12">
        <f>IF(OR(D149="",D149=0),"",L149/D149)</f>
      </c>
      <c r="N149" s="11">
        <f>IF((E149+F149)=0,"",ROUND(L149/(E149+F149),2))</f>
      </c>
    </row>
    <row r="150">
      <c r="H150" s="11">
        <f>IF(G150="","",ROUND(G150*'Cost Rates'!$B$3,2))</f>
      </c>
      <c r="J150" s="11">
        <f>IF(E150="","",ROUND((E150+F150)*'Cost Rates'!$B$4,2))</f>
      </c>
      <c r="K150" s="11">
        <f>IF(D150="","",SUM(H150,I150,J150)+'Cost Rates'!$B$5)</f>
      </c>
      <c r="L150" s="11">
        <f>IF(D150="","",D150-K150)</f>
      </c>
      <c r="M150" s="12">
        <f>IF(OR(D150="",D150=0),"",L150/D150)</f>
      </c>
      <c r="N150" s="11">
        <f>IF((E150+F150)=0,"",ROUND(L150/(E150+F150),2))</f>
      </c>
    </row>
    <row r="151">
      <c r="H151" s="11">
        <f>IF(G151="","",ROUND(G151*'Cost Rates'!$B$3,2))</f>
      </c>
      <c r="J151" s="11">
        <f>IF(E151="","",ROUND((E151+F151)*'Cost Rates'!$B$4,2))</f>
      </c>
      <c r="K151" s="11">
        <f>IF(D151="","",SUM(H151,I151,J151)+'Cost Rates'!$B$5)</f>
      </c>
      <c r="L151" s="11">
        <f>IF(D151="","",D151-K151)</f>
      </c>
      <c r="M151" s="12">
        <f>IF(OR(D151="",D151=0),"",L151/D151)</f>
      </c>
      <c r="N151" s="11">
        <f>IF((E151+F151)=0,"",ROUND(L151/(E151+F151),2))</f>
      </c>
    </row>
    <row r="152">
      <c r="H152" s="11">
        <f>IF(G152="","",ROUND(G152*'Cost Rates'!$B$3,2))</f>
      </c>
      <c r="J152" s="11">
        <f>IF(E152="","",ROUND((E152+F152)*'Cost Rates'!$B$4,2))</f>
      </c>
      <c r="K152" s="11">
        <f>IF(D152="","",SUM(H152,I152,J152)+'Cost Rates'!$B$5)</f>
      </c>
      <c r="L152" s="11">
        <f>IF(D152="","",D152-K152)</f>
      </c>
      <c r="M152" s="12">
        <f>IF(OR(D152="",D152=0),"",L152/D152)</f>
      </c>
      <c r="N152" s="11">
        <f>IF((E152+F152)=0,"",ROUND(L152/(E152+F152),2))</f>
      </c>
    </row>
    <row r="153">
      <c r="H153" s="11">
        <f>IF(G153="","",ROUND(G153*'Cost Rates'!$B$3,2))</f>
      </c>
      <c r="J153" s="11">
        <f>IF(E153="","",ROUND((E153+F153)*'Cost Rates'!$B$4,2))</f>
      </c>
      <c r="K153" s="11">
        <f>IF(D153="","",SUM(H153,I153,J153)+'Cost Rates'!$B$5)</f>
      </c>
      <c r="L153" s="11">
        <f>IF(D153="","",D153-K153)</f>
      </c>
      <c r="M153" s="12">
        <f>IF(OR(D153="",D153=0),"",L153/D153)</f>
      </c>
      <c r="N153" s="11">
        <f>IF((E153+F153)=0,"",ROUND(L153/(E153+F153),2))</f>
      </c>
    </row>
    <row r="154">
      <c r="H154" s="11">
        <f>IF(G154="","",ROUND(G154*'Cost Rates'!$B$3,2))</f>
      </c>
      <c r="J154" s="11">
        <f>IF(E154="","",ROUND((E154+F154)*'Cost Rates'!$B$4,2))</f>
      </c>
      <c r="K154" s="11">
        <f>IF(D154="","",SUM(H154,I154,J154)+'Cost Rates'!$B$5)</f>
      </c>
      <c r="L154" s="11">
        <f>IF(D154="","",D154-K154)</f>
      </c>
      <c r="M154" s="12">
        <f>IF(OR(D154="",D154=0),"",L154/D154)</f>
      </c>
      <c r="N154" s="11">
        <f>IF((E154+F154)=0,"",ROUND(L154/(E154+F154),2))</f>
      </c>
    </row>
    <row r="155">
      <c r="H155" s="11">
        <f>IF(G155="","",ROUND(G155*'Cost Rates'!$B$3,2))</f>
      </c>
      <c r="J155" s="11">
        <f>IF(E155="","",ROUND((E155+F155)*'Cost Rates'!$B$4,2))</f>
      </c>
      <c r="K155" s="11">
        <f>IF(D155="","",SUM(H155,I155,J155)+'Cost Rates'!$B$5)</f>
      </c>
      <c r="L155" s="11">
        <f>IF(D155="","",D155-K155)</f>
      </c>
      <c r="M155" s="12">
        <f>IF(OR(D155="",D155=0),"",L155/D155)</f>
      </c>
      <c r="N155" s="11">
        <f>IF((E155+F155)=0,"",ROUND(L155/(E155+F155),2))</f>
      </c>
    </row>
    <row r="156">
      <c r="H156" s="11">
        <f>IF(G156="","",ROUND(G156*'Cost Rates'!$B$3,2))</f>
      </c>
      <c r="J156" s="11">
        <f>IF(E156="","",ROUND((E156+F156)*'Cost Rates'!$B$4,2))</f>
      </c>
      <c r="K156" s="11">
        <f>IF(D156="","",SUM(H156,I156,J156)+'Cost Rates'!$B$5)</f>
      </c>
      <c r="L156" s="11">
        <f>IF(D156="","",D156-K156)</f>
      </c>
      <c r="M156" s="12">
        <f>IF(OR(D156="",D156=0),"",L156/D156)</f>
      </c>
      <c r="N156" s="11">
        <f>IF((E156+F156)=0,"",ROUND(L156/(E156+F156),2))</f>
      </c>
    </row>
    <row r="157">
      <c r="H157" s="11">
        <f>IF(G157="","",ROUND(G157*'Cost Rates'!$B$3,2))</f>
      </c>
      <c r="J157" s="11">
        <f>IF(E157="","",ROUND((E157+F157)*'Cost Rates'!$B$4,2))</f>
      </c>
      <c r="K157" s="11">
        <f>IF(D157="","",SUM(H157,I157,J157)+'Cost Rates'!$B$5)</f>
      </c>
      <c r="L157" s="11">
        <f>IF(D157="","",D157-K157)</f>
      </c>
      <c r="M157" s="12">
        <f>IF(OR(D157="",D157=0),"",L157/D157)</f>
      </c>
      <c r="N157" s="11">
        <f>IF((E157+F157)=0,"",ROUND(L157/(E157+F157),2))</f>
      </c>
    </row>
    <row r="158">
      <c r="H158" s="11">
        <f>IF(G158="","",ROUND(G158*'Cost Rates'!$B$3,2))</f>
      </c>
      <c r="J158" s="11">
        <f>IF(E158="","",ROUND((E158+F158)*'Cost Rates'!$B$4,2))</f>
      </c>
      <c r="K158" s="11">
        <f>IF(D158="","",SUM(H158,I158,J158)+'Cost Rates'!$B$5)</f>
      </c>
      <c r="L158" s="11">
        <f>IF(D158="","",D158-K158)</f>
      </c>
      <c r="M158" s="12">
        <f>IF(OR(D158="",D158=0),"",L158/D158)</f>
      </c>
      <c r="N158" s="11">
        <f>IF((E158+F158)=0,"",ROUND(L158/(E158+F158),2))</f>
      </c>
    </row>
    <row r="159">
      <c r="H159" s="11">
        <f>IF(G159="","",ROUND(G159*'Cost Rates'!$B$3,2))</f>
      </c>
      <c r="J159" s="11">
        <f>IF(E159="","",ROUND((E159+F159)*'Cost Rates'!$B$4,2))</f>
      </c>
      <c r="K159" s="11">
        <f>IF(D159="","",SUM(H159,I159,J159)+'Cost Rates'!$B$5)</f>
      </c>
      <c r="L159" s="11">
        <f>IF(D159="","",D159-K159)</f>
      </c>
      <c r="M159" s="12">
        <f>IF(OR(D159="",D159=0),"",L159/D159)</f>
      </c>
      <c r="N159" s="11">
        <f>IF((E159+F159)=0,"",ROUND(L159/(E159+F159),2))</f>
      </c>
    </row>
    <row r="160">
      <c r="H160" s="11">
        <f>IF(G160="","",ROUND(G160*'Cost Rates'!$B$3,2))</f>
      </c>
      <c r="J160" s="11">
        <f>IF(E160="","",ROUND((E160+F160)*'Cost Rates'!$B$4,2))</f>
      </c>
      <c r="K160" s="11">
        <f>IF(D160="","",SUM(H160,I160,J160)+'Cost Rates'!$B$5)</f>
      </c>
      <c r="L160" s="11">
        <f>IF(D160="","",D160-K160)</f>
      </c>
      <c r="M160" s="12">
        <f>IF(OR(D160="",D160=0),"",L160/D160)</f>
      </c>
      <c r="N160" s="11">
        <f>IF((E160+F160)=0,"",ROUND(L160/(E160+F160),2))</f>
      </c>
    </row>
    <row r="161">
      <c r="H161" s="11">
        <f>IF(G161="","",ROUND(G161*'Cost Rates'!$B$3,2))</f>
      </c>
      <c r="J161" s="11">
        <f>IF(E161="","",ROUND((E161+F161)*'Cost Rates'!$B$4,2))</f>
      </c>
      <c r="K161" s="11">
        <f>IF(D161="","",SUM(H161,I161,J161)+'Cost Rates'!$B$5)</f>
      </c>
      <c r="L161" s="11">
        <f>IF(D161="","",D161-K161)</f>
      </c>
      <c r="M161" s="12">
        <f>IF(OR(D161="",D161=0),"",L161/D161)</f>
      </c>
      <c r="N161" s="11">
        <f>IF((E161+F161)=0,"",ROUND(L161/(E161+F161),2))</f>
      </c>
    </row>
    <row r="162">
      <c r="H162" s="11">
        <f>IF(G162="","",ROUND(G162*'Cost Rates'!$B$3,2))</f>
      </c>
      <c r="J162" s="11">
        <f>IF(E162="","",ROUND((E162+F162)*'Cost Rates'!$B$4,2))</f>
      </c>
      <c r="K162" s="11">
        <f>IF(D162="","",SUM(H162,I162,J162)+'Cost Rates'!$B$5)</f>
      </c>
      <c r="L162" s="11">
        <f>IF(D162="","",D162-K162)</f>
      </c>
      <c r="M162" s="12">
        <f>IF(OR(D162="",D162=0),"",L162/D162)</f>
      </c>
      <c r="N162" s="11">
        <f>IF((E162+F162)=0,"",ROUND(L162/(E162+F162),2))</f>
      </c>
    </row>
    <row r="163">
      <c r="H163" s="11">
        <f>IF(G163="","",ROUND(G163*'Cost Rates'!$B$3,2))</f>
      </c>
      <c r="J163" s="11">
        <f>IF(E163="","",ROUND((E163+F163)*'Cost Rates'!$B$4,2))</f>
      </c>
      <c r="K163" s="11">
        <f>IF(D163="","",SUM(H163,I163,J163)+'Cost Rates'!$B$5)</f>
      </c>
      <c r="L163" s="11">
        <f>IF(D163="","",D163-K163)</f>
      </c>
      <c r="M163" s="12">
        <f>IF(OR(D163="",D163=0),"",L163/D163)</f>
      </c>
      <c r="N163" s="11">
        <f>IF((E163+F163)=0,"",ROUND(L163/(E163+F163),2))</f>
      </c>
    </row>
    <row r="164">
      <c r="H164" s="11">
        <f>IF(G164="","",ROUND(G164*'Cost Rates'!$B$3,2))</f>
      </c>
      <c r="J164" s="11">
        <f>IF(E164="","",ROUND((E164+F164)*'Cost Rates'!$B$4,2))</f>
      </c>
      <c r="K164" s="11">
        <f>IF(D164="","",SUM(H164,I164,J164)+'Cost Rates'!$B$5)</f>
      </c>
      <c r="L164" s="11">
        <f>IF(D164="","",D164-K164)</f>
      </c>
      <c r="M164" s="12">
        <f>IF(OR(D164="",D164=0),"",L164/D164)</f>
      </c>
      <c r="N164" s="11">
        <f>IF((E164+F164)=0,"",ROUND(L164/(E164+F164),2))</f>
      </c>
    </row>
    <row r="165">
      <c r="H165" s="11">
        <f>IF(G165="","",ROUND(G165*'Cost Rates'!$B$3,2))</f>
      </c>
      <c r="J165" s="11">
        <f>IF(E165="","",ROUND((E165+F165)*'Cost Rates'!$B$4,2))</f>
      </c>
      <c r="K165" s="11">
        <f>IF(D165="","",SUM(H165,I165,J165)+'Cost Rates'!$B$5)</f>
      </c>
      <c r="L165" s="11">
        <f>IF(D165="","",D165-K165)</f>
      </c>
      <c r="M165" s="12">
        <f>IF(OR(D165="",D165=0),"",L165/D165)</f>
      </c>
      <c r="N165" s="11">
        <f>IF((E165+F165)=0,"",ROUND(L165/(E165+F165),2))</f>
      </c>
    </row>
    <row r="166">
      <c r="H166" s="11">
        <f>IF(G166="","",ROUND(G166*'Cost Rates'!$B$3,2))</f>
      </c>
      <c r="J166" s="11">
        <f>IF(E166="","",ROUND((E166+F166)*'Cost Rates'!$B$4,2))</f>
      </c>
      <c r="K166" s="11">
        <f>IF(D166="","",SUM(H166,I166,J166)+'Cost Rates'!$B$5)</f>
      </c>
      <c r="L166" s="11">
        <f>IF(D166="","",D166-K166)</f>
      </c>
      <c r="M166" s="12">
        <f>IF(OR(D166="",D166=0),"",L166/D166)</f>
      </c>
      <c r="N166" s="11">
        <f>IF((E166+F166)=0,"",ROUND(L166/(E166+F166),2))</f>
      </c>
    </row>
    <row r="167">
      <c r="H167" s="11">
        <f>IF(G167="","",ROUND(G167*'Cost Rates'!$B$3,2))</f>
      </c>
      <c r="J167" s="11">
        <f>IF(E167="","",ROUND((E167+F167)*'Cost Rates'!$B$4,2))</f>
      </c>
      <c r="K167" s="11">
        <f>IF(D167="","",SUM(H167,I167,J167)+'Cost Rates'!$B$5)</f>
      </c>
      <c r="L167" s="11">
        <f>IF(D167="","",D167-K167)</f>
      </c>
      <c r="M167" s="12">
        <f>IF(OR(D167="",D167=0),"",L167/D167)</f>
      </c>
      <c r="N167" s="11">
        <f>IF((E167+F167)=0,"",ROUND(L167/(E167+F167),2))</f>
      </c>
    </row>
    <row r="168">
      <c r="H168" s="11">
        <f>IF(G168="","",ROUND(G168*'Cost Rates'!$B$3,2))</f>
      </c>
      <c r="J168" s="11">
        <f>IF(E168="","",ROUND((E168+F168)*'Cost Rates'!$B$4,2))</f>
      </c>
      <c r="K168" s="11">
        <f>IF(D168="","",SUM(H168,I168,J168)+'Cost Rates'!$B$5)</f>
      </c>
      <c r="L168" s="11">
        <f>IF(D168="","",D168-K168)</f>
      </c>
      <c r="M168" s="12">
        <f>IF(OR(D168="",D168=0),"",L168/D168)</f>
      </c>
      <c r="N168" s="11">
        <f>IF((E168+F168)=0,"",ROUND(L168/(E168+F168),2))</f>
      </c>
    </row>
    <row r="169">
      <c r="H169" s="11">
        <f>IF(G169="","",ROUND(G169*'Cost Rates'!$B$3,2))</f>
      </c>
      <c r="J169" s="11">
        <f>IF(E169="","",ROUND((E169+F169)*'Cost Rates'!$B$4,2))</f>
      </c>
      <c r="K169" s="11">
        <f>IF(D169="","",SUM(H169,I169,J169)+'Cost Rates'!$B$5)</f>
      </c>
      <c r="L169" s="11">
        <f>IF(D169="","",D169-K169)</f>
      </c>
      <c r="M169" s="12">
        <f>IF(OR(D169="",D169=0),"",L169/D169)</f>
      </c>
      <c r="N169" s="11">
        <f>IF((E169+F169)=0,"",ROUND(L169/(E169+F169),2))</f>
      </c>
    </row>
    <row r="170">
      <c r="H170" s="11">
        <f>IF(G170="","",ROUND(G170*'Cost Rates'!$B$3,2))</f>
      </c>
      <c r="J170" s="11">
        <f>IF(E170="","",ROUND((E170+F170)*'Cost Rates'!$B$4,2))</f>
      </c>
      <c r="K170" s="11">
        <f>IF(D170="","",SUM(H170,I170,J170)+'Cost Rates'!$B$5)</f>
      </c>
      <c r="L170" s="11">
        <f>IF(D170="","",D170-K170)</f>
      </c>
      <c r="M170" s="12">
        <f>IF(OR(D170="",D170=0),"",L170/D170)</f>
      </c>
      <c r="N170" s="11">
        <f>IF((E170+F170)=0,"",ROUND(L170/(E170+F170),2))</f>
      </c>
    </row>
    <row r="171">
      <c r="H171" s="11">
        <f>IF(G171="","",ROUND(G171*'Cost Rates'!$B$3,2))</f>
      </c>
      <c r="J171" s="11">
        <f>IF(E171="","",ROUND((E171+F171)*'Cost Rates'!$B$4,2))</f>
      </c>
      <c r="K171" s="11">
        <f>IF(D171="","",SUM(H171,I171,J171)+'Cost Rates'!$B$5)</f>
      </c>
      <c r="L171" s="11">
        <f>IF(D171="","",D171-K171)</f>
      </c>
      <c r="M171" s="12">
        <f>IF(OR(D171="",D171=0),"",L171/D171)</f>
      </c>
      <c r="N171" s="11">
        <f>IF((E171+F171)=0,"",ROUND(L171/(E171+F171),2))</f>
      </c>
    </row>
    <row r="172">
      <c r="H172" s="11">
        <f>IF(G172="","",ROUND(G172*'Cost Rates'!$B$3,2))</f>
      </c>
      <c r="J172" s="11">
        <f>IF(E172="","",ROUND((E172+F172)*'Cost Rates'!$B$4,2))</f>
      </c>
      <c r="K172" s="11">
        <f>IF(D172="","",SUM(H172,I172,J172)+'Cost Rates'!$B$5)</f>
      </c>
      <c r="L172" s="11">
        <f>IF(D172="","",D172-K172)</f>
      </c>
      <c r="M172" s="12">
        <f>IF(OR(D172="",D172=0),"",L172/D172)</f>
      </c>
      <c r="N172" s="11">
        <f>IF((E172+F172)=0,"",ROUND(L172/(E172+F172),2))</f>
      </c>
    </row>
    <row r="173">
      <c r="H173" s="11">
        <f>IF(G173="","",ROUND(G173*'Cost Rates'!$B$3,2))</f>
      </c>
      <c r="J173" s="11">
        <f>IF(E173="","",ROUND((E173+F173)*'Cost Rates'!$B$4,2))</f>
      </c>
      <c r="K173" s="11">
        <f>IF(D173="","",SUM(H173,I173,J173)+'Cost Rates'!$B$5)</f>
      </c>
      <c r="L173" s="11">
        <f>IF(D173="","",D173-K173)</f>
      </c>
      <c r="M173" s="12">
        <f>IF(OR(D173="",D173=0),"",L173/D173)</f>
      </c>
      <c r="N173" s="11">
        <f>IF((E173+F173)=0,"",ROUND(L173/(E173+F173),2))</f>
      </c>
    </row>
    <row r="174">
      <c r="H174" s="11">
        <f>IF(G174="","",ROUND(G174*'Cost Rates'!$B$3,2))</f>
      </c>
      <c r="J174" s="11">
        <f>IF(E174="","",ROUND((E174+F174)*'Cost Rates'!$B$4,2))</f>
      </c>
      <c r="K174" s="11">
        <f>IF(D174="","",SUM(H174,I174,J174)+'Cost Rates'!$B$5)</f>
      </c>
      <c r="L174" s="11">
        <f>IF(D174="","",D174-K174)</f>
      </c>
      <c r="M174" s="12">
        <f>IF(OR(D174="",D174=0),"",L174/D174)</f>
      </c>
      <c r="N174" s="11">
        <f>IF((E174+F174)=0,"",ROUND(L174/(E174+F174),2))</f>
      </c>
    </row>
    <row r="175">
      <c r="H175" s="11">
        <f>IF(G175="","",ROUND(G175*'Cost Rates'!$B$3,2))</f>
      </c>
      <c r="J175" s="11">
        <f>IF(E175="","",ROUND((E175+F175)*'Cost Rates'!$B$4,2))</f>
      </c>
      <c r="K175" s="11">
        <f>IF(D175="","",SUM(H175,I175,J175)+'Cost Rates'!$B$5)</f>
      </c>
      <c r="L175" s="11">
        <f>IF(D175="","",D175-K175)</f>
      </c>
      <c r="M175" s="12">
        <f>IF(OR(D175="",D175=0),"",L175/D175)</f>
      </c>
      <c r="N175" s="11">
        <f>IF((E175+F175)=0,"",ROUND(L175/(E175+F175),2))</f>
      </c>
    </row>
    <row r="176">
      <c r="H176" s="11">
        <f>IF(G176="","",ROUND(G176*'Cost Rates'!$B$3,2))</f>
      </c>
      <c r="J176" s="11">
        <f>IF(E176="","",ROUND((E176+F176)*'Cost Rates'!$B$4,2))</f>
      </c>
      <c r="K176" s="11">
        <f>IF(D176="","",SUM(H176,I176,J176)+'Cost Rates'!$B$5)</f>
      </c>
      <c r="L176" s="11">
        <f>IF(D176="","",D176-K176)</f>
      </c>
      <c r="M176" s="12">
        <f>IF(OR(D176="",D176=0),"",L176/D176)</f>
      </c>
      <c r="N176" s="11">
        <f>IF((E176+F176)=0,"",ROUND(L176/(E176+F176),2))</f>
      </c>
    </row>
    <row r="177">
      <c r="H177" s="11">
        <f>IF(G177="","",ROUND(G177*'Cost Rates'!$B$3,2))</f>
      </c>
      <c r="J177" s="11">
        <f>IF(E177="","",ROUND((E177+F177)*'Cost Rates'!$B$4,2))</f>
      </c>
      <c r="K177" s="11">
        <f>IF(D177="","",SUM(H177,I177,J177)+'Cost Rates'!$B$5)</f>
      </c>
      <c r="L177" s="11">
        <f>IF(D177="","",D177-K177)</f>
      </c>
      <c r="M177" s="12">
        <f>IF(OR(D177="",D177=0),"",L177/D177)</f>
      </c>
      <c r="N177" s="11">
        <f>IF((E177+F177)=0,"",ROUND(L177/(E177+F177),2))</f>
      </c>
    </row>
    <row r="178">
      <c r="H178" s="11">
        <f>IF(G178="","",ROUND(G178*'Cost Rates'!$B$3,2))</f>
      </c>
      <c r="J178" s="11">
        <f>IF(E178="","",ROUND((E178+F178)*'Cost Rates'!$B$4,2))</f>
      </c>
      <c r="K178" s="11">
        <f>IF(D178="","",SUM(H178,I178,J178)+'Cost Rates'!$B$5)</f>
      </c>
      <c r="L178" s="11">
        <f>IF(D178="","",D178-K178)</f>
      </c>
      <c r="M178" s="12">
        <f>IF(OR(D178="",D178=0),"",L178/D178)</f>
      </c>
      <c r="N178" s="11">
        <f>IF((E178+F178)=0,"",ROUND(L178/(E178+F178),2))</f>
      </c>
    </row>
    <row r="179">
      <c r="H179" s="11">
        <f>IF(G179="","",ROUND(G179*'Cost Rates'!$B$3,2))</f>
      </c>
      <c r="J179" s="11">
        <f>IF(E179="","",ROUND((E179+F179)*'Cost Rates'!$B$4,2))</f>
      </c>
      <c r="K179" s="11">
        <f>IF(D179="","",SUM(H179,I179,J179)+'Cost Rates'!$B$5)</f>
      </c>
      <c r="L179" s="11">
        <f>IF(D179="","",D179-K179)</f>
      </c>
      <c r="M179" s="12">
        <f>IF(OR(D179="",D179=0),"",L179/D179)</f>
      </c>
      <c r="N179" s="11">
        <f>IF((E179+F179)=0,"",ROUND(L179/(E179+F179),2))</f>
      </c>
    </row>
    <row r="180">
      <c r="H180" s="11">
        <f>IF(G180="","",ROUND(G180*'Cost Rates'!$B$3,2))</f>
      </c>
      <c r="J180" s="11">
        <f>IF(E180="","",ROUND((E180+F180)*'Cost Rates'!$B$4,2))</f>
      </c>
      <c r="K180" s="11">
        <f>IF(D180="","",SUM(H180,I180,J180)+'Cost Rates'!$B$5)</f>
      </c>
      <c r="L180" s="11">
        <f>IF(D180="","",D180-K180)</f>
      </c>
      <c r="M180" s="12">
        <f>IF(OR(D180="",D180=0),"",L180/D180)</f>
      </c>
      <c r="N180" s="11">
        <f>IF((E180+F180)=0,"",ROUND(L180/(E180+F180),2))</f>
      </c>
    </row>
    <row r="181">
      <c r="H181" s="11">
        <f>IF(G181="","",ROUND(G181*'Cost Rates'!$B$3,2))</f>
      </c>
      <c r="J181" s="11">
        <f>IF(E181="","",ROUND((E181+F181)*'Cost Rates'!$B$4,2))</f>
      </c>
      <c r="K181" s="11">
        <f>IF(D181="","",SUM(H181,I181,J181)+'Cost Rates'!$B$5)</f>
      </c>
      <c r="L181" s="11">
        <f>IF(D181="","",D181-K181)</f>
      </c>
      <c r="M181" s="12">
        <f>IF(OR(D181="",D181=0),"",L181/D181)</f>
      </c>
      <c r="N181" s="11">
        <f>IF((E181+F181)=0,"",ROUND(L181/(E181+F181),2))</f>
      </c>
    </row>
    <row r="182">
      <c r="H182" s="11">
        <f>IF(G182="","",ROUND(G182*'Cost Rates'!$B$3,2))</f>
      </c>
      <c r="J182" s="11">
        <f>IF(E182="","",ROUND((E182+F182)*'Cost Rates'!$B$4,2))</f>
      </c>
      <c r="K182" s="11">
        <f>IF(D182="","",SUM(H182,I182,J182)+'Cost Rates'!$B$5)</f>
      </c>
      <c r="L182" s="11">
        <f>IF(D182="","",D182-K182)</f>
      </c>
      <c r="M182" s="12">
        <f>IF(OR(D182="",D182=0),"",L182/D182)</f>
      </c>
      <c r="N182" s="11">
        <f>IF((E182+F182)=0,"",ROUND(L182/(E182+F182),2))</f>
      </c>
    </row>
    <row r="183">
      <c r="H183" s="11">
        <f>IF(G183="","",ROUND(G183*'Cost Rates'!$B$3,2))</f>
      </c>
      <c r="J183" s="11">
        <f>IF(E183="","",ROUND((E183+F183)*'Cost Rates'!$B$4,2))</f>
      </c>
      <c r="K183" s="11">
        <f>IF(D183="","",SUM(H183,I183,J183)+'Cost Rates'!$B$5)</f>
      </c>
      <c r="L183" s="11">
        <f>IF(D183="","",D183-K183)</f>
      </c>
      <c r="M183" s="12">
        <f>IF(OR(D183="",D183=0),"",L183/D183)</f>
      </c>
      <c r="N183" s="11">
        <f>IF((E183+F183)=0,"",ROUND(L183/(E183+F183),2))</f>
      </c>
    </row>
    <row r="184">
      <c r="H184" s="11">
        <f>IF(G184="","",ROUND(G184*'Cost Rates'!$B$3,2))</f>
      </c>
      <c r="J184" s="11">
        <f>IF(E184="","",ROUND((E184+F184)*'Cost Rates'!$B$4,2))</f>
      </c>
      <c r="K184" s="11">
        <f>IF(D184="","",SUM(H184,I184,J184)+'Cost Rates'!$B$5)</f>
      </c>
      <c r="L184" s="11">
        <f>IF(D184="","",D184-K184)</f>
      </c>
      <c r="M184" s="12">
        <f>IF(OR(D184="",D184=0),"",L184/D184)</f>
      </c>
      <c r="N184" s="11">
        <f>IF((E184+F184)=0,"",ROUND(L184/(E184+F184),2))</f>
      </c>
    </row>
    <row r="185">
      <c r="H185" s="11">
        <f>IF(G185="","",ROUND(G185*'Cost Rates'!$B$3,2))</f>
      </c>
      <c r="J185" s="11">
        <f>IF(E185="","",ROUND((E185+F185)*'Cost Rates'!$B$4,2))</f>
      </c>
      <c r="K185" s="11">
        <f>IF(D185="","",SUM(H185,I185,J185)+'Cost Rates'!$B$5)</f>
      </c>
      <c r="L185" s="11">
        <f>IF(D185="","",D185-K185)</f>
      </c>
      <c r="M185" s="12">
        <f>IF(OR(D185="",D185=0),"",L185/D185)</f>
      </c>
      <c r="N185" s="11">
        <f>IF((E185+F185)=0,"",ROUND(L185/(E185+F185),2))</f>
      </c>
    </row>
    <row r="186">
      <c r="H186" s="11">
        <f>IF(G186="","",ROUND(G186*'Cost Rates'!$B$3,2))</f>
      </c>
      <c r="J186" s="11">
        <f>IF(E186="","",ROUND((E186+F186)*'Cost Rates'!$B$4,2))</f>
      </c>
      <c r="K186" s="11">
        <f>IF(D186="","",SUM(H186,I186,J186)+'Cost Rates'!$B$5)</f>
      </c>
      <c r="L186" s="11">
        <f>IF(D186="","",D186-K186)</f>
      </c>
      <c r="M186" s="12">
        <f>IF(OR(D186="",D186=0),"",L186/D186)</f>
      </c>
      <c r="N186" s="11">
        <f>IF((E186+F186)=0,"",ROUND(L186/(E186+F186),2))</f>
      </c>
    </row>
    <row r="187">
      <c r="H187" s="11">
        <f>IF(G187="","",ROUND(G187*'Cost Rates'!$B$3,2))</f>
      </c>
      <c r="J187" s="11">
        <f>IF(E187="","",ROUND((E187+F187)*'Cost Rates'!$B$4,2))</f>
      </c>
      <c r="K187" s="11">
        <f>IF(D187="","",SUM(H187,I187,J187)+'Cost Rates'!$B$5)</f>
      </c>
      <c r="L187" s="11">
        <f>IF(D187="","",D187-K187)</f>
      </c>
      <c r="M187" s="12">
        <f>IF(OR(D187="",D187=0),"",L187/D187)</f>
      </c>
      <c r="N187" s="11">
        <f>IF((E187+F187)=0,"",ROUND(L187/(E187+F187),2))</f>
      </c>
    </row>
    <row r="188">
      <c r="H188" s="11">
        <f>IF(G188="","",ROUND(G188*'Cost Rates'!$B$3,2))</f>
      </c>
      <c r="J188" s="11">
        <f>IF(E188="","",ROUND((E188+F188)*'Cost Rates'!$B$4,2))</f>
      </c>
      <c r="K188" s="11">
        <f>IF(D188="","",SUM(H188,I188,J188)+'Cost Rates'!$B$5)</f>
      </c>
      <c r="L188" s="11">
        <f>IF(D188="","",D188-K188)</f>
      </c>
      <c r="M188" s="12">
        <f>IF(OR(D188="",D188=0),"",L188/D188)</f>
      </c>
      <c r="N188" s="11">
        <f>IF((E188+F188)=0,"",ROUND(L188/(E188+F188),2))</f>
      </c>
    </row>
    <row r="189">
      <c r="H189" s="11">
        <f>IF(G189="","",ROUND(G189*'Cost Rates'!$B$3,2))</f>
      </c>
      <c r="J189" s="11">
        <f>IF(E189="","",ROUND((E189+F189)*'Cost Rates'!$B$4,2))</f>
      </c>
      <c r="K189" s="11">
        <f>IF(D189="","",SUM(H189,I189,J189)+'Cost Rates'!$B$5)</f>
      </c>
      <c r="L189" s="11">
        <f>IF(D189="","",D189-K189)</f>
      </c>
      <c r="M189" s="12">
        <f>IF(OR(D189="",D189=0),"",L189/D189)</f>
      </c>
      <c r="N189" s="11">
        <f>IF((E189+F189)=0,"",ROUND(L189/(E189+F189),2))</f>
      </c>
    </row>
    <row r="190">
      <c r="H190" s="11">
        <f>IF(G190="","",ROUND(G190*'Cost Rates'!$B$3,2))</f>
      </c>
      <c r="J190" s="11">
        <f>IF(E190="","",ROUND((E190+F190)*'Cost Rates'!$B$4,2))</f>
      </c>
      <c r="K190" s="11">
        <f>IF(D190="","",SUM(H190,I190,J190)+'Cost Rates'!$B$5)</f>
      </c>
      <c r="L190" s="11">
        <f>IF(D190="","",D190-K190)</f>
      </c>
      <c r="M190" s="12">
        <f>IF(OR(D190="",D190=0),"",L190/D190)</f>
      </c>
      <c r="N190" s="11">
        <f>IF((E190+F190)=0,"",ROUND(L190/(E190+F190),2))</f>
      </c>
    </row>
    <row r="191">
      <c r="H191" s="11">
        <f>IF(G191="","",ROUND(G191*'Cost Rates'!$B$3,2))</f>
      </c>
      <c r="J191" s="11">
        <f>IF(E191="","",ROUND((E191+F191)*'Cost Rates'!$B$4,2))</f>
      </c>
      <c r="K191" s="11">
        <f>IF(D191="","",SUM(H191,I191,J191)+'Cost Rates'!$B$5)</f>
      </c>
      <c r="L191" s="11">
        <f>IF(D191="","",D191-K191)</f>
      </c>
      <c r="M191" s="12">
        <f>IF(OR(D191="",D191=0),"",L191/D191)</f>
      </c>
      <c r="N191" s="11">
        <f>IF((E191+F191)=0,"",ROUND(L191/(E191+F191),2))</f>
      </c>
    </row>
    <row r="192">
      <c r="H192" s="11">
        <f>IF(G192="","",ROUND(G192*'Cost Rates'!$B$3,2))</f>
      </c>
      <c r="J192" s="11">
        <f>IF(E192="","",ROUND((E192+F192)*'Cost Rates'!$B$4,2))</f>
      </c>
      <c r="K192" s="11">
        <f>IF(D192="","",SUM(H192,I192,J192)+'Cost Rates'!$B$5)</f>
      </c>
      <c r="L192" s="11">
        <f>IF(D192="","",D192-K192)</f>
      </c>
      <c r="M192" s="12">
        <f>IF(OR(D192="",D192=0),"",L192/D192)</f>
      </c>
      <c r="N192" s="11">
        <f>IF((E192+F192)=0,"",ROUND(L192/(E192+F192),2))</f>
      </c>
    </row>
    <row r="193">
      <c r="H193" s="11">
        <f>IF(G193="","",ROUND(G193*'Cost Rates'!$B$3,2))</f>
      </c>
      <c r="J193" s="11">
        <f>IF(E193="","",ROUND((E193+F193)*'Cost Rates'!$B$4,2))</f>
      </c>
      <c r="K193" s="11">
        <f>IF(D193="","",SUM(H193,I193,J193)+'Cost Rates'!$B$5)</f>
      </c>
      <c r="L193" s="11">
        <f>IF(D193="","",D193-K193)</f>
      </c>
      <c r="M193" s="12">
        <f>IF(OR(D193="",D193=0),"",L193/D193)</f>
      </c>
      <c r="N193" s="11">
        <f>IF((E193+F193)=0,"",ROUND(L193/(E193+F193),2))</f>
      </c>
    </row>
    <row r="194">
      <c r="H194" s="11">
        <f>IF(G194="","",ROUND(G194*'Cost Rates'!$B$3,2))</f>
      </c>
      <c r="J194" s="11">
        <f>IF(E194="","",ROUND((E194+F194)*'Cost Rates'!$B$4,2))</f>
      </c>
      <c r="K194" s="11">
        <f>IF(D194="","",SUM(H194,I194,J194)+'Cost Rates'!$B$5)</f>
      </c>
      <c r="L194" s="11">
        <f>IF(D194="","",D194-K194)</f>
      </c>
      <c r="M194" s="12">
        <f>IF(OR(D194="",D194=0),"",L194/D194)</f>
      </c>
      <c r="N194" s="11">
        <f>IF((E194+F194)=0,"",ROUND(L194/(E194+F194),2))</f>
      </c>
    </row>
    <row r="195">
      <c r="H195" s="11">
        <f>IF(G195="","",ROUND(G195*'Cost Rates'!$B$3,2))</f>
      </c>
      <c r="J195" s="11">
        <f>IF(E195="","",ROUND((E195+F195)*'Cost Rates'!$B$4,2))</f>
      </c>
      <c r="K195" s="11">
        <f>IF(D195="","",SUM(H195,I195,J195)+'Cost Rates'!$B$5)</f>
      </c>
      <c r="L195" s="11">
        <f>IF(D195="","",D195-K195)</f>
      </c>
      <c r="M195" s="12">
        <f>IF(OR(D195="",D195=0),"",L195/D195)</f>
      </c>
      <c r="N195" s="11">
        <f>IF((E195+F195)=0,"",ROUND(L195/(E195+F195),2))</f>
      </c>
    </row>
    <row r="196">
      <c r="H196" s="11">
        <f>IF(G196="","",ROUND(G196*'Cost Rates'!$B$3,2))</f>
      </c>
      <c r="J196" s="11">
        <f>IF(E196="","",ROUND((E196+F196)*'Cost Rates'!$B$4,2))</f>
      </c>
      <c r="K196" s="11">
        <f>IF(D196="","",SUM(H196,I196,J196)+'Cost Rates'!$B$5)</f>
      </c>
      <c r="L196" s="11">
        <f>IF(D196="","",D196-K196)</f>
      </c>
      <c r="M196" s="12">
        <f>IF(OR(D196="",D196=0),"",L196/D196)</f>
      </c>
      <c r="N196" s="11">
        <f>IF((E196+F196)=0,"",ROUND(L196/(E196+F196),2))</f>
      </c>
    </row>
    <row r="197">
      <c r="H197" s="11">
        <f>IF(G197="","",ROUND(G197*'Cost Rates'!$B$3,2))</f>
      </c>
      <c r="J197" s="11">
        <f>IF(E197="","",ROUND((E197+F197)*'Cost Rates'!$B$4,2))</f>
      </c>
      <c r="K197" s="11">
        <f>IF(D197="","",SUM(H197,I197,J197)+'Cost Rates'!$B$5)</f>
      </c>
      <c r="L197" s="11">
        <f>IF(D197="","",D197-K197)</f>
      </c>
      <c r="M197" s="12">
        <f>IF(OR(D197="",D197=0),"",L197/D197)</f>
      </c>
      <c r="N197" s="11">
        <f>IF((E197+F197)=0,"",ROUND(L197/(E197+F197),2))</f>
      </c>
    </row>
    <row r="198">
      <c r="H198" s="11">
        <f>IF(G198="","",ROUND(G198*'Cost Rates'!$B$3,2))</f>
      </c>
      <c r="J198" s="11">
        <f>IF(E198="","",ROUND((E198+F198)*'Cost Rates'!$B$4,2))</f>
      </c>
      <c r="K198" s="11">
        <f>IF(D198="","",SUM(H198,I198,J198)+'Cost Rates'!$B$5)</f>
      </c>
      <c r="L198" s="11">
        <f>IF(D198="","",D198-K198)</f>
      </c>
      <c r="M198" s="12">
        <f>IF(OR(D198="",D198=0),"",L198/D198)</f>
      </c>
      <c r="N198" s="11">
        <f>IF((E198+F198)=0,"",ROUND(L198/(E198+F198),2))</f>
      </c>
    </row>
    <row r="199">
      <c r="H199" s="11">
        <f>IF(G199="","",ROUND(G199*'Cost Rates'!$B$3,2))</f>
      </c>
      <c r="J199" s="11">
        <f>IF(E199="","",ROUND((E199+F199)*'Cost Rates'!$B$4,2))</f>
      </c>
      <c r="K199" s="11">
        <f>IF(D199="","",SUM(H199,I199,J199)+'Cost Rates'!$B$5)</f>
      </c>
      <c r="L199" s="11">
        <f>IF(D199="","",D199-K199)</f>
      </c>
      <c r="M199" s="12">
        <f>IF(OR(D199="",D199=0),"",L199/D199)</f>
      </c>
      <c r="N199" s="11">
        <f>IF((E199+F199)=0,"",ROUND(L199/(E199+F199),2))</f>
      </c>
    </row>
    <row r="200">
      <c r="H200" s="11">
        <f>IF(G200="","",ROUND(G200*'Cost Rates'!$B$3,2))</f>
      </c>
      <c r="J200" s="11">
        <f>IF(E200="","",ROUND((E200+F200)*'Cost Rates'!$B$4,2))</f>
      </c>
      <c r="K200" s="11">
        <f>IF(D200="","",SUM(H200,I200,J200)+'Cost Rates'!$B$5)</f>
      </c>
      <c r="L200" s="11">
        <f>IF(D200="","",D200-K200)</f>
      </c>
      <c r="M200" s="12">
        <f>IF(OR(D200="",D200=0),"",L200/D200)</f>
      </c>
      <c r="N200" s="11">
        <f>IF((E200+F200)=0,"",ROUND(L200/(E200+F200),2))</f>
      </c>
    </row>
    <row r="201">
      <c r="H201" s="11">
        <f>IF(G201="","",ROUND(G201*'Cost Rates'!$B$3,2))</f>
      </c>
      <c r="J201" s="11">
        <f>IF(E201="","",ROUND((E201+F201)*'Cost Rates'!$B$4,2))</f>
      </c>
      <c r="K201" s="11">
        <f>IF(D201="","",SUM(H201,I201,J201)+'Cost Rates'!$B$5)</f>
      </c>
      <c r="L201" s="11">
        <f>IF(D201="","",D201-K201)</f>
      </c>
      <c r="M201" s="12">
        <f>IF(OR(D201="",D201=0),"",L201/D201)</f>
      </c>
      <c r="N201" s="11">
        <f>IF((E201+F201)=0,"",ROUND(L201/(E201+F201),2))</f>
      </c>
    </row>
    <row r="202">
      <c r="H202" s="11">
        <f>IF(G202="","",ROUND(G202*'Cost Rates'!$B$3,2))</f>
      </c>
      <c r="J202" s="11">
        <f>IF(E202="","",ROUND((E202+F202)*'Cost Rates'!$B$4,2))</f>
      </c>
      <c r="K202" s="11">
        <f>IF(D202="","",SUM(H202,I202,J202)+'Cost Rates'!$B$5)</f>
      </c>
      <c r="L202" s="11">
        <f>IF(D202="","",D202-K202)</f>
      </c>
      <c r="M202" s="12">
        <f>IF(OR(D202="",D202=0),"",L202/D202)</f>
      </c>
      <c r="N202" s="11">
        <f>IF((E202+F202)=0,"",ROUND(L202/(E202+F202),2))</f>
      </c>
    </row>
    <row r="203">
      <c r="H203" s="11">
        <f>IF(G203="","",ROUND(G203*'Cost Rates'!$B$3,2))</f>
      </c>
      <c r="J203" s="11">
        <f>IF(E203="","",ROUND((E203+F203)*'Cost Rates'!$B$4,2))</f>
      </c>
      <c r="K203" s="11">
        <f>IF(D203="","",SUM(H203,I203,J203)+'Cost Rates'!$B$5)</f>
      </c>
      <c r="L203" s="11">
        <f>IF(D203="","",D203-K203)</f>
      </c>
      <c r="M203" s="12">
        <f>IF(OR(D203="",D203=0),"",L203/D203)</f>
      </c>
      <c r="N203" s="11">
        <f>IF((E203+F203)=0,"",ROUND(L203/(E203+F203),2))</f>
      </c>
    </row>
    <row r="204">
      <c r="H204" s="11">
        <f>IF(G204="","",ROUND(G204*'Cost Rates'!$B$3,2))</f>
      </c>
      <c r="J204" s="11">
        <f>IF(E204="","",ROUND((E204+F204)*'Cost Rates'!$B$4,2))</f>
      </c>
      <c r="K204" s="11">
        <f>IF(D204="","",SUM(H204,I204,J204)+'Cost Rates'!$B$5)</f>
      </c>
      <c r="L204" s="11">
        <f>IF(D204="","",D204-K204)</f>
      </c>
      <c r="M204" s="12">
        <f>IF(OR(D204="",D204=0),"",L204/D204)</f>
      </c>
      <c r="N204" s="11">
        <f>IF((E204+F204)=0,"",ROUND(L204/(E204+F204),2))</f>
      </c>
    </row>
    <row r="205">
      <c r="H205" s="11">
        <f>IF(G205="","",ROUND(G205*'Cost Rates'!$B$3,2))</f>
      </c>
      <c r="J205" s="11">
        <f>IF(E205="","",ROUND((E205+F205)*'Cost Rates'!$B$4,2))</f>
      </c>
      <c r="K205" s="11">
        <f>IF(D205="","",SUM(H205,I205,J205)+'Cost Rates'!$B$5)</f>
      </c>
      <c r="L205" s="11">
        <f>IF(D205="","",D205-K205)</f>
      </c>
      <c r="M205" s="12">
        <f>IF(OR(D205="",D205=0),"",L205/D205)</f>
      </c>
      <c r="N205" s="11">
        <f>IF((E205+F205)=0,"",ROUND(L205/(E205+F205),2))</f>
      </c>
    </row>
    <row r="206">
      <c r="H206" s="11">
        <f>IF(G206="","",ROUND(G206*'Cost Rates'!$B$3,2))</f>
      </c>
      <c r="J206" s="11">
        <f>IF(E206="","",ROUND((E206+F206)*'Cost Rates'!$B$4,2))</f>
      </c>
      <c r="K206" s="11">
        <f>IF(D206="","",SUM(H206,I206,J206)+'Cost Rates'!$B$5)</f>
      </c>
      <c r="L206" s="11">
        <f>IF(D206="","",D206-K206)</f>
      </c>
      <c r="M206" s="12">
        <f>IF(OR(D206="",D206=0),"",L206/D206)</f>
      </c>
      <c r="N206" s="11">
        <f>IF((E206+F206)=0,"",ROUND(L206/(E206+F206),2))</f>
      </c>
    </row>
    <row r="207">
      <c r="H207" s="11">
        <f>IF(G207="","",ROUND(G207*'Cost Rates'!$B$3,2))</f>
      </c>
      <c r="J207" s="11">
        <f>IF(E207="","",ROUND((E207+F207)*'Cost Rates'!$B$4,2))</f>
      </c>
      <c r="K207" s="11">
        <f>IF(D207="","",SUM(H207,I207,J207)+'Cost Rates'!$B$5)</f>
      </c>
      <c r="L207" s="11">
        <f>IF(D207="","",D207-K207)</f>
      </c>
      <c r="M207" s="12">
        <f>IF(OR(D207="",D207=0),"",L207/D207)</f>
      </c>
      <c r="N207" s="11">
        <f>IF((E207+F207)=0,"",ROUND(L207/(E207+F207),2))</f>
      </c>
    </row>
    <row r="208">
      <c r="H208" s="11">
        <f>IF(G208="","",ROUND(G208*'Cost Rates'!$B$3,2))</f>
      </c>
      <c r="J208" s="11">
        <f>IF(E208="","",ROUND((E208+F208)*'Cost Rates'!$B$4,2))</f>
      </c>
      <c r="K208" s="11">
        <f>IF(D208="","",SUM(H208,I208,J208)+'Cost Rates'!$B$5)</f>
      </c>
      <c r="L208" s="11">
        <f>IF(D208="","",D208-K208)</f>
      </c>
      <c r="M208" s="12">
        <f>IF(OR(D208="",D208=0),"",L208/D208)</f>
      </c>
      <c r="N208" s="11">
        <f>IF((E208+F208)=0,"",ROUND(L208/(E208+F208),2))</f>
      </c>
    </row>
    <row r="209">
      <c r="H209" s="11">
        <f>IF(G209="","",ROUND(G209*'Cost Rates'!$B$3,2))</f>
      </c>
      <c r="J209" s="11">
        <f>IF(E209="","",ROUND((E209+F209)*'Cost Rates'!$B$4,2))</f>
      </c>
      <c r="K209" s="11">
        <f>IF(D209="","",SUM(H209,I209,J209)+'Cost Rates'!$B$5)</f>
      </c>
      <c r="L209" s="11">
        <f>IF(D209="","",D209-K209)</f>
      </c>
      <c r="M209" s="12">
        <f>IF(OR(D209="",D209=0),"",L209/D209)</f>
      </c>
      <c r="N209" s="11">
        <f>IF((E209+F209)=0,"",ROUND(L209/(E209+F209),2))</f>
      </c>
    </row>
    <row r="210">
      <c r="H210" s="11">
        <f>IF(G210="","",ROUND(G210*'Cost Rates'!$B$3,2))</f>
      </c>
      <c r="J210" s="11">
        <f>IF(E210="","",ROUND((E210+F210)*'Cost Rates'!$B$4,2))</f>
      </c>
      <c r="K210" s="11">
        <f>IF(D210="","",SUM(H210,I210,J210)+'Cost Rates'!$B$5)</f>
      </c>
      <c r="L210" s="11">
        <f>IF(D210="","",D210-K210)</f>
      </c>
      <c r="M210" s="12">
        <f>IF(OR(D210="",D210=0),"",L210/D210)</f>
      </c>
      <c r="N210" s="11">
        <f>IF((E210+F210)=0,"",ROUND(L210/(E210+F210),2))</f>
      </c>
    </row>
    <row r="211">
      <c r="H211" s="11">
        <f>IF(G211="","",ROUND(G211*'Cost Rates'!$B$3,2))</f>
      </c>
      <c r="J211" s="11">
        <f>IF(E211="","",ROUND((E211+F211)*'Cost Rates'!$B$4,2))</f>
      </c>
      <c r="K211" s="11">
        <f>IF(D211="","",SUM(H211,I211,J211)+'Cost Rates'!$B$5)</f>
      </c>
      <c r="L211" s="11">
        <f>IF(D211="","",D211-K211)</f>
      </c>
      <c r="M211" s="12">
        <f>IF(OR(D211="",D211=0),"",L211/D211)</f>
      </c>
      <c r="N211" s="11">
        <f>IF((E211+F211)=0,"",ROUND(L211/(E211+F211),2))</f>
      </c>
    </row>
    <row r="212">
      <c r="H212" s="11">
        <f>IF(G212="","",ROUND(G212*'Cost Rates'!$B$3,2))</f>
      </c>
      <c r="J212" s="11">
        <f>IF(E212="","",ROUND((E212+F212)*'Cost Rates'!$B$4,2))</f>
      </c>
      <c r="K212" s="11">
        <f>IF(D212="","",SUM(H212,I212,J212)+'Cost Rates'!$B$5)</f>
      </c>
      <c r="L212" s="11">
        <f>IF(D212="","",D212-K212)</f>
      </c>
      <c r="M212" s="12">
        <f>IF(OR(D212="",D212=0),"",L212/D212)</f>
      </c>
      <c r="N212" s="11">
        <f>IF((E212+F212)=0,"",ROUND(L212/(E212+F212),2))</f>
      </c>
    </row>
    <row r="213">
      <c r="H213" s="11">
        <f>IF(G213="","",ROUND(G213*'Cost Rates'!$B$3,2))</f>
      </c>
      <c r="J213" s="11">
        <f>IF(E213="","",ROUND((E213+F213)*'Cost Rates'!$B$4,2))</f>
      </c>
      <c r="K213" s="11">
        <f>IF(D213="","",SUM(H213,I213,J213)+'Cost Rates'!$B$5)</f>
      </c>
      <c r="L213" s="11">
        <f>IF(D213="","",D213-K213)</f>
      </c>
      <c r="M213" s="12">
        <f>IF(OR(D213="",D213=0),"",L213/D213)</f>
      </c>
      <c r="N213" s="11">
        <f>IF((E213+F213)=0,"",ROUND(L213/(E213+F213),2))</f>
      </c>
    </row>
    <row r="214">
      <c r="H214" s="11">
        <f>IF(G214="","",ROUND(G214*'Cost Rates'!$B$3,2))</f>
      </c>
      <c r="J214" s="11">
        <f>IF(E214="","",ROUND((E214+F214)*'Cost Rates'!$B$4,2))</f>
      </c>
      <c r="K214" s="11">
        <f>IF(D214="","",SUM(H214,I214,J214)+'Cost Rates'!$B$5)</f>
      </c>
      <c r="L214" s="11">
        <f>IF(D214="","",D214-K214)</f>
      </c>
      <c r="M214" s="12">
        <f>IF(OR(D214="",D214=0),"",L214/D214)</f>
      </c>
      <c r="N214" s="11">
        <f>IF((E214+F214)=0,"",ROUND(L214/(E214+F214),2))</f>
      </c>
    </row>
    <row r="215">
      <c r="H215" s="11">
        <f>IF(G215="","",ROUND(G215*'Cost Rates'!$B$3,2))</f>
      </c>
      <c r="J215" s="11">
        <f>IF(E215="","",ROUND((E215+F215)*'Cost Rates'!$B$4,2))</f>
      </c>
      <c r="K215" s="11">
        <f>IF(D215="","",SUM(H215,I215,J215)+'Cost Rates'!$B$5)</f>
      </c>
      <c r="L215" s="11">
        <f>IF(D215="","",D215-K215)</f>
      </c>
      <c r="M215" s="12">
        <f>IF(OR(D215="",D215=0),"",L215/D215)</f>
      </c>
      <c r="N215" s="11">
        <f>IF((E215+F215)=0,"",ROUND(L215/(E215+F215),2))</f>
      </c>
    </row>
    <row r="216">
      <c r="H216" s="11">
        <f>IF(G216="","",ROUND(G216*'Cost Rates'!$B$3,2))</f>
      </c>
      <c r="J216" s="11">
        <f>IF(E216="","",ROUND((E216+F216)*'Cost Rates'!$B$4,2))</f>
      </c>
      <c r="K216" s="11">
        <f>IF(D216="","",SUM(H216,I216,J216)+'Cost Rates'!$B$5)</f>
      </c>
      <c r="L216" s="11">
        <f>IF(D216="","",D216-K216)</f>
      </c>
      <c r="M216" s="12">
        <f>IF(OR(D216="",D216=0),"",L216/D216)</f>
      </c>
      <c r="N216" s="11">
        <f>IF((E216+F216)=0,"",ROUND(L216/(E216+F216),2))</f>
      </c>
    </row>
    <row r="217">
      <c r="H217" s="11">
        <f>IF(G217="","",ROUND(G217*'Cost Rates'!$B$3,2))</f>
      </c>
      <c r="J217" s="11">
        <f>IF(E217="","",ROUND((E217+F217)*'Cost Rates'!$B$4,2))</f>
      </c>
      <c r="K217" s="11">
        <f>IF(D217="","",SUM(H217,I217,J217)+'Cost Rates'!$B$5)</f>
      </c>
      <c r="L217" s="11">
        <f>IF(D217="","",D217-K217)</f>
      </c>
      <c r="M217" s="12">
        <f>IF(OR(D217="",D217=0),"",L217/D217)</f>
      </c>
      <c r="N217" s="11">
        <f>IF((E217+F217)=0,"",ROUND(L217/(E217+F217),2))</f>
      </c>
    </row>
    <row r="218">
      <c r="H218" s="11">
        <f>IF(G218="","",ROUND(G218*'Cost Rates'!$B$3,2))</f>
      </c>
      <c r="J218" s="11">
        <f>IF(E218="","",ROUND((E218+F218)*'Cost Rates'!$B$4,2))</f>
      </c>
      <c r="K218" s="11">
        <f>IF(D218="","",SUM(H218,I218,J218)+'Cost Rates'!$B$5)</f>
      </c>
      <c r="L218" s="11">
        <f>IF(D218="","",D218-K218)</f>
      </c>
      <c r="M218" s="12">
        <f>IF(OR(D218="",D218=0),"",L218/D218)</f>
      </c>
      <c r="N218" s="11">
        <f>IF((E218+F218)=0,"",ROUND(L218/(E218+F218),2))</f>
      </c>
    </row>
    <row r="219">
      <c r="H219" s="11">
        <f>IF(G219="","",ROUND(G219*'Cost Rates'!$B$3,2))</f>
      </c>
      <c r="J219" s="11">
        <f>IF(E219="","",ROUND((E219+F219)*'Cost Rates'!$B$4,2))</f>
      </c>
      <c r="K219" s="11">
        <f>IF(D219="","",SUM(H219,I219,J219)+'Cost Rates'!$B$5)</f>
      </c>
      <c r="L219" s="11">
        <f>IF(D219="","",D219-K219)</f>
      </c>
      <c r="M219" s="12">
        <f>IF(OR(D219="",D219=0),"",L219/D219)</f>
      </c>
      <c r="N219" s="11">
        <f>IF((E219+F219)=0,"",ROUND(L219/(E219+F219),2))</f>
      </c>
    </row>
    <row r="220">
      <c r="H220" s="11">
        <f>IF(G220="","",ROUND(G220*'Cost Rates'!$B$3,2))</f>
      </c>
      <c r="J220" s="11">
        <f>IF(E220="","",ROUND((E220+F220)*'Cost Rates'!$B$4,2))</f>
      </c>
      <c r="K220" s="11">
        <f>IF(D220="","",SUM(H220,I220,J220)+'Cost Rates'!$B$5)</f>
      </c>
      <c r="L220" s="11">
        <f>IF(D220="","",D220-K220)</f>
      </c>
      <c r="M220" s="12">
        <f>IF(OR(D220="",D220=0),"",L220/D220)</f>
      </c>
      <c r="N220" s="11">
        <f>IF((E220+F220)=0,"",ROUND(L220/(E220+F220),2))</f>
      </c>
    </row>
    <row r="221">
      <c r="H221" s="11">
        <f>IF(G221="","",ROUND(G221*'Cost Rates'!$B$3,2))</f>
      </c>
      <c r="J221" s="11">
        <f>IF(E221="","",ROUND((E221+F221)*'Cost Rates'!$B$4,2))</f>
      </c>
      <c r="K221" s="11">
        <f>IF(D221="","",SUM(H221,I221,J221)+'Cost Rates'!$B$5)</f>
      </c>
      <c r="L221" s="11">
        <f>IF(D221="","",D221-K221)</f>
      </c>
      <c r="M221" s="12">
        <f>IF(OR(D221="",D221=0),"",L221/D221)</f>
      </c>
      <c r="N221" s="11">
        <f>IF((E221+F221)=0,"",ROUND(L221/(E221+F221),2))</f>
      </c>
    </row>
    <row r="222">
      <c r="H222" s="11">
        <f>IF(G222="","",ROUND(G222*'Cost Rates'!$B$3,2))</f>
      </c>
      <c r="J222" s="11">
        <f>IF(E222="","",ROUND((E222+F222)*'Cost Rates'!$B$4,2))</f>
      </c>
      <c r="K222" s="11">
        <f>IF(D222="","",SUM(H222,I222,J222)+'Cost Rates'!$B$5)</f>
      </c>
      <c r="L222" s="11">
        <f>IF(D222="","",D222-K222)</f>
      </c>
      <c r="M222" s="12">
        <f>IF(OR(D222="",D222=0),"",L222/D222)</f>
      </c>
      <c r="N222" s="11">
        <f>IF((E222+F222)=0,"",ROUND(L222/(E222+F222),2))</f>
      </c>
    </row>
    <row r="223">
      <c r="H223" s="11">
        <f>IF(G223="","",ROUND(G223*'Cost Rates'!$B$3,2))</f>
      </c>
      <c r="J223" s="11">
        <f>IF(E223="","",ROUND((E223+F223)*'Cost Rates'!$B$4,2))</f>
      </c>
      <c r="K223" s="11">
        <f>IF(D223="","",SUM(H223,I223,J223)+'Cost Rates'!$B$5)</f>
      </c>
      <c r="L223" s="11">
        <f>IF(D223="","",D223-K223)</f>
      </c>
      <c r="M223" s="12">
        <f>IF(OR(D223="",D223=0),"",L223/D223)</f>
      </c>
      <c r="N223" s="11">
        <f>IF((E223+F223)=0,"",ROUND(L223/(E223+F223),2))</f>
      </c>
    </row>
    <row r="224">
      <c r="H224" s="11">
        <f>IF(G224="","",ROUND(G224*'Cost Rates'!$B$3,2))</f>
      </c>
      <c r="J224" s="11">
        <f>IF(E224="","",ROUND((E224+F224)*'Cost Rates'!$B$4,2))</f>
      </c>
      <c r="K224" s="11">
        <f>IF(D224="","",SUM(H224,I224,J224)+'Cost Rates'!$B$5)</f>
      </c>
      <c r="L224" s="11">
        <f>IF(D224="","",D224-K224)</f>
      </c>
      <c r="M224" s="12">
        <f>IF(OR(D224="",D224=0),"",L224/D224)</f>
      </c>
      <c r="N224" s="11">
        <f>IF((E224+F224)=0,"",ROUND(L224/(E224+F224),2))</f>
      </c>
    </row>
    <row r="225">
      <c r="H225" s="11">
        <f>IF(G225="","",ROUND(G225*'Cost Rates'!$B$3,2))</f>
      </c>
      <c r="J225" s="11">
        <f>IF(E225="","",ROUND((E225+F225)*'Cost Rates'!$B$4,2))</f>
      </c>
      <c r="K225" s="11">
        <f>IF(D225="","",SUM(H225,I225,J225)+'Cost Rates'!$B$5)</f>
      </c>
      <c r="L225" s="11">
        <f>IF(D225="","",D225-K225)</f>
      </c>
      <c r="M225" s="12">
        <f>IF(OR(D225="",D225=0),"",L225/D225)</f>
      </c>
      <c r="N225" s="11">
        <f>IF((E225+F225)=0,"",ROUND(L225/(E225+F225),2))</f>
      </c>
    </row>
    <row r="226">
      <c r="H226" s="11">
        <f>IF(G226="","",ROUND(G226*'Cost Rates'!$B$3,2))</f>
      </c>
      <c r="J226" s="11">
        <f>IF(E226="","",ROUND((E226+F226)*'Cost Rates'!$B$4,2))</f>
      </c>
      <c r="K226" s="11">
        <f>IF(D226="","",SUM(H226,I226,J226)+'Cost Rates'!$B$5)</f>
      </c>
      <c r="L226" s="11">
        <f>IF(D226="","",D226-K226)</f>
      </c>
      <c r="M226" s="12">
        <f>IF(OR(D226="",D226=0),"",L226/D226)</f>
      </c>
      <c r="N226" s="11">
        <f>IF((E226+F226)=0,"",ROUND(L226/(E226+F226),2))</f>
      </c>
    </row>
    <row r="227">
      <c r="H227" s="11">
        <f>IF(G227="","",ROUND(G227*'Cost Rates'!$B$3,2))</f>
      </c>
      <c r="J227" s="11">
        <f>IF(E227="","",ROUND((E227+F227)*'Cost Rates'!$B$4,2))</f>
      </c>
      <c r="K227" s="11">
        <f>IF(D227="","",SUM(H227,I227,J227)+'Cost Rates'!$B$5)</f>
      </c>
      <c r="L227" s="11">
        <f>IF(D227="","",D227-K227)</f>
      </c>
      <c r="M227" s="12">
        <f>IF(OR(D227="",D227=0),"",L227/D227)</f>
      </c>
      <c r="N227" s="11">
        <f>IF((E227+F227)=0,"",ROUND(L227/(E227+F227),2))</f>
      </c>
    </row>
    <row r="228">
      <c r="H228" s="11">
        <f>IF(G228="","",ROUND(G228*'Cost Rates'!$B$3,2))</f>
      </c>
      <c r="J228" s="11">
        <f>IF(E228="","",ROUND((E228+F228)*'Cost Rates'!$B$4,2))</f>
      </c>
      <c r="K228" s="11">
        <f>IF(D228="","",SUM(H228,I228,J228)+'Cost Rates'!$B$5)</f>
      </c>
      <c r="L228" s="11">
        <f>IF(D228="","",D228-K228)</f>
      </c>
      <c r="M228" s="12">
        <f>IF(OR(D228="",D228=0),"",L228/D228)</f>
      </c>
      <c r="N228" s="11">
        <f>IF((E228+F228)=0,"",ROUND(L228/(E228+F228),2))</f>
      </c>
    </row>
    <row r="229">
      <c r="H229" s="11">
        <f>IF(G229="","",ROUND(G229*'Cost Rates'!$B$3,2))</f>
      </c>
      <c r="J229" s="11">
        <f>IF(E229="","",ROUND((E229+F229)*'Cost Rates'!$B$4,2))</f>
      </c>
      <c r="K229" s="11">
        <f>IF(D229="","",SUM(H229,I229,J229)+'Cost Rates'!$B$5)</f>
      </c>
      <c r="L229" s="11">
        <f>IF(D229="","",D229-K229)</f>
      </c>
      <c r="M229" s="12">
        <f>IF(OR(D229="",D229=0),"",L229/D229)</f>
      </c>
      <c r="N229" s="11">
        <f>IF((E229+F229)=0,"",ROUND(L229/(E229+F229),2))</f>
      </c>
    </row>
    <row r="230">
      <c r="H230" s="11">
        <f>IF(G230="","",ROUND(G230*'Cost Rates'!$B$3,2))</f>
      </c>
      <c r="J230" s="11">
        <f>IF(E230="","",ROUND((E230+F230)*'Cost Rates'!$B$4,2))</f>
      </c>
      <c r="K230" s="11">
        <f>IF(D230="","",SUM(H230,I230,J230)+'Cost Rates'!$B$5)</f>
      </c>
      <c r="L230" s="11">
        <f>IF(D230="","",D230-K230)</f>
      </c>
      <c r="M230" s="12">
        <f>IF(OR(D230="",D230=0),"",L230/D230)</f>
      </c>
      <c r="N230" s="11">
        <f>IF((E230+F230)=0,"",ROUND(L230/(E230+F230),2))</f>
      </c>
    </row>
    <row r="231">
      <c r="H231" s="11">
        <f>IF(G231="","",ROUND(G231*'Cost Rates'!$B$3,2))</f>
      </c>
      <c r="J231" s="11">
        <f>IF(E231="","",ROUND((E231+F231)*'Cost Rates'!$B$4,2))</f>
      </c>
      <c r="K231" s="11">
        <f>IF(D231="","",SUM(H231,I231,J231)+'Cost Rates'!$B$5)</f>
      </c>
      <c r="L231" s="11">
        <f>IF(D231="","",D231-K231)</f>
      </c>
      <c r="M231" s="12">
        <f>IF(OR(D231="",D231=0),"",L231/D231)</f>
      </c>
      <c r="N231" s="11">
        <f>IF((E231+F231)=0,"",ROUND(L231/(E231+F231),2))</f>
      </c>
    </row>
    <row r="232">
      <c r="H232" s="11">
        <f>IF(G232="","",ROUND(G232*'Cost Rates'!$B$3,2))</f>
      </c>
      <c r="J232" s="11">
        <f>IF(E232="","",ROUND((E232+F232)*'Cost Rates'!$B$4,2))</f>
      </c>
      <c r="K232" s="11">
        <f>IF(D232="","",SUM(H232,I232,J232)+'Cost Rates'!$B$5)</f>
      </c>
      <c r="L232" s="11">
        <f>IF(D232="","",D232-K232)</f>
      </c>
      <c r="M232" s="12">
        <f>IF(OR(D232="",D232=0),"",L232/D232)</f>
      </c>
      <c r="N232" s="11">
        <f>IF((E232+F232)=0,"",ROUND(L232/(E232+F232),2))</f>
      </c>
    </row>
    <row r="233">
      <c r="H233" s="11">
        <f>IF(G233="","",ROUND(G233*'Cost Rates'!$B$3,2))</f>
      </c>
      <c r="J233" s="11">
        <f>IF(E233="","",ROUND((E233+F233)*'Cost Rates'!$B$4,2))</f>
      </c>
      <c r="K233" s="11">
        <f>IF(D233="","",SUM(H233,I233,J233)+'Cost Rates'!$B$5)</f>
      </c>
      <c r="L233" s="11">
        <f>IF(D233="","",D233-K233)</f>
      </c>
      <c r="M233" s="12">
        <f>IF(OR(D233="",D233=0),"",L233/D233)</f>
      </c>
      <c r="N233" s="11">
        <f>IF((E233+F233)=0,"",ROUND(L233/(E233+F233),2))</f>
      </c>
    </row>
    <row r="234">
      <c r="H234" s="11">
        <f>IF(G234="","",ROUND(G234*'Cost Rates'!$B$3,2))</f>
      </c>
      <c r="J234" s="11">
        <f>IF(E234="","",ROUND((E234+F234)*'Cost Rates'!$B$4,2))</f>
      </c>
      <c r="K234" s="11">
        <f>IF(D234="","",SUM(H234,I234,J234)+'Cost Rates'!$B$5)</f>
      </c>
      <c r="L234" s="11">
        <f>IF(D234="","",D234-K234)</f>
      </c>
      <c r="M234" s="12">
        <f>IF(OR(D234="",D234=0),"",L234/D234)</f>
      </c>
      <c r="N234" s="11">
        <f>IF((E234+F234)=0,"",ROUND(L234/(E234+F234),2))</f>
      </c>
    </row>
    <row r="235">
      <c r="H235" s="11">
        <f>IF(G235="","",ROUND(G235*'Cost Rates'!$B$3,2))</f>
      </c>
      <c r="J235" s="11">
        <f>IF(E235="","",ROUND((E235+F235)*'Cost Rates'!$B$4,2))</f>
      </c>
      <c r="K235" s="11">
        <f>IF(D235="","",SUM(H235,I235,J235)+'Cost Rates'!$B$5)</f>
      </c>
      <c r="L235" s="11">
        <f>IF(D235="","",D235-K235)</f>
      </c>
      <c r="M235" s="12">
        <f>IF(OR(D235="",D235=0),"",L235/D235)</f>
      </c>
      <c r="N235" s="11">
        <f>IF((E235+F235)=0,"",ROUND(L235/(E235+F235),2))</f>
      </c>
    </row>
    <row r="236">
      <c r="H236" s="11">
        <f>IF(G236="","",ROUND(G236*'Cost Rates'!$B$3,2))</f>
      </c>
      <c r="J236" s="11">
        <f>IF(E236="","",ROUND((E236+F236)*'Cost Rates'!$B$4,2))</f>
      </c>
      <c r="K236" s="11">
        <f>IF(D236="","",SUM(H236,I236,J236)+'Cost Rates'!$B$5)</f>
      </c>
      <c r="L236" s="11">
        <f>IF(D236="","",D236-K236)</f>
      </c>
      <c r="M236" s="12">
        <f>IF(OR(D236="",D236=0),"",L236/D236)</f>
      </c>
      <c r="N236" s="11">
        <f>IF((E236+F236)=0,"",ROUND(L236/(E236+F236),2))</f>
      </c>
    </row>
    <row r="237">
      <c r="H237" s="11">
        <f>IF(G237="","",ROUND(G237*'Cost Rates'!$B$3,2))</f>
      </c>
      <c r="J237" s="11">
        <f>IF(E237="","",ROUND((E237+F237)*'Cost Rates'!$B$4,2))</f>
      </c>
      <c r="K237" s="11">
        <f>IF(D237="","",SUM(H237,I237,J237)+'Cost Rates'!$B$5)</f>
      </c>
      <c r="L237" s="11">
        <f>IF(D237="","",D237-K237)</f>
      </c>
      <c r="M237" s="12">
        <f>IF(OR(D237="",D237=0),"",L237/D237)</f>
      </c>
      <c r="N237" s="11">
        <f>IF((E237+F237)=0,"",ROUND(L237/(E237+F237),2))</f>
      </c>
    </row>
    <row r="238">
      <c r="H238" s="11">
        <f>IF(G238="","",ROUND(G238*'Cost Rates'!$B$3,2))</f>
      </c>
      <c r="J238" s="11">
        <f>IF(E238="","",ROUND((E238+F238)*'Cost Rates'!$B$4,2))</f>
      </c>
      <c r="K238" s="11">
        <f>IF(D238="","",SUM(H238,I238,J238)+'Cost Rates'!$B$5)</f>
      </c>
      <c r="L238" s="11">
        <f>IF(D238="","",D238-K238)</f>
      </c>
      <c r="M238" s="12">
        <f>IF(OR(D238="",D238=0),"",L238/D238)</f>
      </c>
      <c r="N238" s="11">
        <f>IF((E238+F238)=0,"",ROUND(L238/(E238+F238),2))</f>
      </c>
    </row>
    <row r="239">
      <c r="H239" s="11">
        <f>IF(G239="","",ROUND(G239*'Cost Rates'!$B$3,2))</f>
      </c>
      <c r="J239" s="11">
        <f>IF(E239="","",ROUND((E239+F239)*'Cost Rates'!$B$4,2))</f>
      </c>
      <c r="K239" s="11">
        <f>IF(D239="","",SUM(H239,I239,J239)+'Cost Rates'!$B$5)</f>
      </c>
      <c r="L239" s="11">
        <f>IF(D239="","",D239-K239)</f>
      </c>
      <c r="M239" s="12">
        <f>IF(OR(D239="",D239=0),"",L239/D239)</f>
      </c>
      <c r="N239" s="11">
        <f>IF((E239+F239)=0,"",ROUND(L239/(E239+F239),2))</f>
      </c>
    </row>
    <row r="240">
      <c r="H240" s="11">
        <f>IF(G240="","",ROUND(G240*'Cost Rates'!$B$3,2))</f>
      </c>
      <c r="J240" s="11">
        <f>IF(E240="","",ROUND((E240+F240)*'Cost Rates'!$B$4,2))</f>
      </c>
      <c r="K240" s="11">
        <f>IF(D240="","",SUM(H240,I240,J240)+'Cost Rates'!$B$5)</f>
      </c>
      <c r="L240" s="11">
        <f>IF(D240="","",D240-K240)</f>
      </c>
      <c r="M240" s="12">
        <f>IF(OR(D240="",D240=0),"",L240/D240)</f>
      </c>
      <c r="N240" s="11">
        <f>IF((E240+F240)=0,"",ROUND(L240/(E240+F240),2))</f>
      </c>
    </row>
    <row r="241">
      <c r="H241" s="11">
        <f>IF(G241="","",ROUND(G241*'Cost Rates'!$B$3,2))</f>
      </c>
      <c r="J241" s="11">
        <f>IF(E241="","",ROUND((E241+F241)*'Cost Rates'!$B$4,2))</f>
      </c>
      <c r="K241" s="11">
        <f>IF(D241="","",SUM(H241,I241,J241)+'Cost Rates'!$B$5)</f>
      </c>
      <c r="L241" s="11">
        <f>IF(D241="","",D241-K241)</f>
      </c>
      <c r="M241" s="12">
        <f>IF(OR(D241="",D241=0),"",L241/D241)</f>
      </c>
      <c r="N241" s="11">
        <f>IF((E241+F241)=0,"",ROUND(L241/(E241+F241),2))</f>
      </c>
    </row>
    <row r="242">
      <c r="H242" s="11">
        <f>IF(G242="","",ROUND(G242*'Cost Rates'!$B$3,2))</f>
      </c>
      <c r="J242" s="11">
        <f>IF(E242="","",ROUND((E242+F242)*'Cost Rates'!$B$4,2))</f>
      </c>
      <c r="K242" s="11">
        <f>IF(D242="","",SUM(H242,I242,J242)+'Cost Rates'!$B$5)</f>
      </c>
      <c r="L242" s="11">
        <f>IF(D242="","",D242-K242)</f>
      </c>
      <c r="M242" s="12">
        <f>IF(OR(D242="",D242=0),"",L242/D242)</f>
      </c>
      <c r="N242" s="11">
        <f>IF((E242+F242)=0,"",ROUND(L242/(E242+F242),2))</f>
      </c>
    </row>
    <row r="243">
      <c r="H243" s="11">
        <f>IF(G243="","",ROUND(G243*'Cost Rates'!$B$3,2))</f>
      </c>
      <c r="J243" s="11">
        <f>IF(E243="","",ROUND((E243+F243)*'Cost Rates'!$B$4,2))</f>
      </c>
      <c r="K243" s="11">
        <f>IF(D243="","",SUM(H243,I243,J243)+'Cost Rates'!$B$5)</f>
      </c>
      <c r="L243" s="11">
        <f>IF(D243="","",D243-K243)</f>
      </c>
      <c r="M243" s="12">
        <f>IF(OR(D243="",D243=0),"",L243/D243)</f>
      </c>
      <c r="N243" s="11">
        <f>IF((E243+F243)=0,"",ROUND(L243/(E243+F243),2))</f>
      </c>
    </row>
    <row r="244">
      <c r="H244" s="11">
        <f>IF(G244="","",ROUND(G244*'Cost Rates'!$B$3,2))</f>
      </c>
      <c r="J244" s="11">
        <f>IF(E244="","",ROUND((E244+F244)*'Cost Rates'!$B$4,2))</f>
      </c>
      <c r="K244" s="11">
        <f>IF(D244="","",SUM(H244,I244,J244)+'Cost Rates'!$B$5)</f>
      </c>
      <c r="L244" s="11">
        <f>IF(D244="","",D244-K244)</f>
      </c>
      <c r="M244" s="12">
        <f>IF(OR(D244="",D244=0),"",L244/D244)</f>
      </c>
      <c r="N244" s="11">
        <f>IF((E244+F244)=0,"",ROUND(L244/(E244+F244),2))</f>
      </c>
    </row>
    <row r="245">
      <c r="H245" s="11">
        <f>IF(G245="","",ROUND(G245*'Cost Rates'!$B$3,2))</f>
      </c>
      <c r="J245" s="11">
        <f>IF(E245="","",ROUND((E245+F245)*'Cost Rates'!$B$4,2))</f>
      </c>
      <c r="K245" s="11">
        <f>IF(D245="","",SUM(H245,I245,J245)+'Cost Rates'!$B$5)</f>
      </c>
      <c r="L245" s="11">
        <f>IF(D245="","",D245-K245)</f>
      </c>
      <c r="M245" s="12">
        <f>IF(OR(D245="",D245=0),"",L245/D245)</f>
      </c>
      <c r="N245" s="11">
        <f>IF((E245+F245)=0,"",ROUND(L245/(E245+F245),2))</f>
      </c>
    </row>
    <row r="246">
      <c r="H246" s="11">
        <f>IF(G246="","",ROUND(G246*'Cost Rates'!$B$3,2))</f>
      </c>
      <c r="J246" s="11">
        <f>IF(E246="","",ROUND((E246+F246)*'Cost Rates'!$B$4,2))</f>
      </c>
      <c r="K246" s="11">
        <f>IF(D246="","",SUM(H246,I246,J246)+'Cost Rates'!$B$5)</f>
      </c>
      <c r="L246" s="11">
        <f>IF(D246="","",D246-K246)</f>
      </c>
      <c r="M246" s="12">
        <f>IF(OR(D246="",D246=0),"",L246/D246)</f>
      </c>
      <c r="N246" s="11">
        <f>IF((E246+F246)=0,"",ROUND(L246/(E246+F246),2))</f>
      </c>
    </row>
    <row r="247">
      <c r="H247" s="11">
        <f>IF(G247="","",ROUND(G247*'Cost Rates'!$B$3,2))</f>
      </c>
      <c r="J247" s="11">
        <f>IF(E247="","",ROUND((E247+F247)*'Cost Rates'!$B$4,2))</f>
      </c>
      <c r="K247" s="11">
        <f>IF(D247="","",SUM(H247,I247,J247)+'Cost Rates'!$B$5)</f>
      </c>
      <c r="L247" s="11">
        <f>IF(D247="","",D247-K247)</f>
      </c>
      <c r="M247" s="12">
        <f>IF(OR(D247="",D247=0),"",L247/D247)</f>
      </c>
      <c r="N247" s="11">
        <f>IF((E247+F247)=0,"",ROUND(L247/(E247+F247),2))</f>
      </c>
    </row>
    <row r="248">
      <c r="H248" s="11">
        <f>IF(G248="","",ROUND(G248*'Cost Rates'!$B$3,2))</f>
      </c>
      <c r="J248" s="11">
        <f>IF(E248="","",ROUND((E248+F248)*'Cost Rates'!$B$4,2))</f>
      </c>
      <c r="K248" s="11">
        <f>IF(D248="","",SUM(H248,I248,J248)+'Cost Rates'!$B$5)</f>
      </c>
      <c r="L248" s="11">
        <f>IF(D248="","",D248-K248)</f>
      </c>
      <c r="M248" s="12">
        <f>IF(OR(D248="",D248=0),"",L248/D248)</f>
      </c>
      <c r="N248" s="11">
        <f>IF((E248+F248)=0,"",ROUND(L248/(E248+F248),2))</f>
      </c>
    </row>
    <row r="249">
      <c r="H249" s="11">
        <f>IF(G249="","",ROUND(G249*'Cost Rates'!$B$3,2))</f>
      </c>
      <c r="J249" s="11">
        <f>IF(E249="","",ROUND((E249+F249)*'Cost Rates'!$B$4,2))</f>
      </c>
      <c r="K249" s="11">
        <f>IF(D249="","",SUM(H249,I249,J249)+'Cost Rates'!$B$5)</f>
      </c>
      <c r="L249" s="11">
        <f>IF(D249="","",D249-K249)</f>
      </c>
      <c r="M249" s="12">
        <f>IF(OR(D249="",D249=0),"",L249/D249)</f>
      </c>
      <c r="N249" s="11">
        <f>IF((E249+F249)=0,"",ROUND(L249/(E249+F249),2))</f>
      </c>
    </row>
    <row r="250">
      <c r="H250" s="11">
        <f>IF(G250="","",ROUND(G250*'Cost Rates'!$B$3,2))</f>
      </c>
      <c r="J250" s="11">
        <f>IF(E250="","",ROUND((E250+F250)*'Cost Rates'!$B$4,2))</f>
      </c>
      <c r="K250" s="11">
        <f>IF(D250="","",SUM(H250,I250,J250)+'Cost Rates'!$B$5)</f>
      </c>
      <c r="L250" s="11">
        <f>IF(D250="","",D250-K250)</f>
      </c>
      <c r="M250" s="12">
        <f>IF(OR(D250="",D250=0),"",L250/D250)</f>
      </c>
      <c r="N250" s="11">
        <f>IF((E250+F250)=0,"",ROUND(L250/(E250+F250),2))</f>
      </c>
    </row>
    <row r="251">
      <c r="H251" s="11">
        <f>IF(G251="","",ROUND(G251*'Cost Rates'!$B$3,2))</f>
      </c>
      <c r="J251" s="11">
        <f>IF(E251="","",ROUND((E251+F251)*'Cost Rates'!$B$4,2))</f>
      </c>
      <c r="K251" s="11">
        <f>IF(D251="","",SUM(H251,I251,J251)+'Cost Rates'!$B$5)</f>
      </c>
      <c r="L251" s="11">
        <f>IF(D251="","",D251-K251)</f>
      </c>
      <c r="M251" s="12">
        <f>IF(OR(D251="",D251=0),"",L251/D251)</f>
      </c>
      <c r="N251" s="11">
        <f>IF((E251+F251)=0,"",ROUND(L251/(E251+F251),2))</f>
      </c>
    </row>
    <row r="252">
      <c r="H252" s="11">
        <f>IF(G252="","",ROUND(G252*'Cost Rates'!$B$3,2))</f>
      </c>
      <c r="J252" s="11">
        <f>IF(E252="","",ROUND((E252+F252)*'Cost Rates'!$B$4,2))</f>
      </c>
      <c r="K252" s="11">
        <f>IF(D252="","",SUM(H252,I252,J252)+'Cost Rates'!$B$5)</f>
      </c>
      <c r="L252" s="11">
        <f>IF(D252="","",D252-K252)</f>
      </c>
      <c r="M252" s="12">
        <f>IF(OR(D252="",D252=0),"",L252/D252)</f>
      </c>
      <c r="N252" s="11">
        <f>IF((E252+F252)=0,"",ROUND(L252/(E252+F252),2))</f>
      </c>
    </row>
    <row r="253">
      <c r="H253" s="11">
        <f>IF(G253="","",ROUND(G253*'Cost Rates'!$B$3,2))</f>
      </c>
      <c r="J253" s="11">
        <f>IF(E253="","",ROUND((E253+F253)*'Cost Rates'!$B$4,2))</f>
      </c>
      <c r="K253" s="11">
        <f>IF(D253="","",SUM(H253,I253,J253)+'Cost Rates'!$B$5)</f>
      </c>
      <c r="L253" s="11">
        <f>IF(D253="","",D253-K253)</f>
      </c>
      <c r="M253" s="12">
        <f>IF(OR(D253="",D253=0),"",L253/D253)</f>
      </c>
      <c r="N253" s="11">
        <f>IF((E253+F253)=0,"",ROUND(L253/(E253+F253),2))</f>
      </c>
    </row>
    <row r="254">
      <c r="H254" s="11">
        <f>IF(G254="","",ROUND(G254*'Cost Rates'!$B$3,2))</f>
      </c>
      <c r="J254" s="11">
        <f>IF(E254="","",ROUND((E254+F254)*'Cost Rates'!$B$4,2))</f>
      </c>
      <c r="K254" s="11">
        <f>IF(D254="","",SUM(H254,I254,J254)+'Cost Rates'!$B$5)</f>
      </c>
      <c r="L254" s="11">
        <f>IF(D254="","",D254-K254)</f>
      </c>
      <c r="M254" s="12">
        <f>IF(OR(D254="",D254=0),"",L254/D254)</f>
      </c>
      <c r="N254" s="11">
        <f>IF((E254+F254)=0,"",ROUND(L254/(E254+F254),2))</f>
      </c>
    </row>
    <row r="255">
      <c r="H255" s="11">
        <f>IF(G255="","",ROUND(G255*'Cost Rates'!$B$3,2))</f>
      </c>
      <c r="J255" s="11">
        <f>IF(E255="","",ROUND((E255+F255)*'Cost Rates'!$B$4,2))</f>
      </c>
      <c r="K255" s="11">
        <f>IF(D255="","",SUM(H255,I255,J255)+'Cost Rates'!$B$5)</f>
      </c>
      <c r="L255" s="11">
        <f>IF(D255="","",D255-K255)</f>
      </c>
      <c r="M255" s="12">
        <f>IF(OR(D255="",D255=0),"",L255/D255)</f>
      </c>
      <c r="N255" s="11">
        <f>IF((E255+F255)=0,"",ROUND(L255/(E255+F255),2))</f>
      </c>
    </row>
    <row r="256">
      <c r="H256" s="11">
        <f>IF(G256="","",ROUND(G256*'Cost Rates'!$B$3,2))</f>
      </c>
      <c r="J256" s="11">
        <f>IF(E256="","",ROUND((E256+F256)*'Cost Rates'!$B$4,2))</f>
      </c>
      <c r="K256" s="11">
        <f>IF(D256="","",SUM(H256,I256,J256)+'Cost Rates'!$B$5)</f>
      </c>
      <c r="L256" s="11">
        <f>IF(D256="","",D256-K256)</f>
      </c>
      <c r="M256" s="12">
        <f>IF(OR(D256="",D256=0),"",L256/D256)</f>
      </c>
      <c r="N256" s="11">
        <f>IF((E256+F256)=0,"",ROUND(L256/(E256+F256),2))</f>
      </c>
    </row>
    <row r="257">
      <c r="H257" s="11">
        <f>IF(G257="","",ROUND(G257*'Cost Rates'!$B$3,2))</f>
      </c>
      <c r="J257" s="11">
        <f>IF(E257="","",ROUND((E257+F257)*'Cost Rates'!$B$4,2))</f>
      </c>
      <c r="K257" s="11">
        <f>IF(D257="","",SUM(H257,I257,J257)+'Cost Rates'!$B$5)</f>
      </c>
      <c r="L257" s="11">
        <f>IF(D257="","",D257-K257)</f>
      </c>
      <c r="M257" s="12">
        <f>IF(OR(D257="",D257=0),"",L257/D257)</f>
      </c>
      <c r="N257" s="11">
        <f>IF((E257+F257)=0,"",ROUND(L257/(E257+F257),2))</f>
      </c>
    </row>
    <row r="258">
      <c r="H258" s="11">
        <f>IF(G258="","",ROUND(G258*'Cost Rates'!$B$3,2))</f>
      </c>
      <c r="J258" s="11">
        <f>IF(E258="","",ROUND((E258+F258)*'Cost Rates'!$B$4,2))</f>
      </c>
      <c r="K258" s="11">
        <f>IF(D258="","",SUM(H258,I258,J258)+'Cost Rates'!$B$5)</f>
      </c>
      <c r="L258" s="11">
        <f>IF(D258="","",D258-K258)</f>
      </c>
      <c r="M258" s="12">
        <f>IF(OR(D258="",D258=0),"",L258/D258)</f>
      </c>
      <c r="N258" s="11">
        <f>IF((E258+F258)=0,"",ROUND(L258/(E258+F258),2))</f>
      </c>
    </row>
    <row r="259">
      <c r="H259" s="11">
        <f>IF(G259="","",ROUND(G259*'Cost Rates'!$B$3,2))</f>
      </c>
      <c r="J259" s="11">
        <f>IF(E259="","",ROUND((E259+F259)*'Cost Rates'!$B$4,2))</f>
      </c>
      <c r="K259" s="11">
        <f>IF(D259="","",SUM(H259,I259,J259)+'Cost Rates'!$B$5)</f>
      </c>
      <c r="L259" s="11">
        <f>IF(D259="","",D259-K259)</f>
      </c>
      <c r="M259" s="12">
        <f>IF(OR(D259="",D259=0),"",L259/D259)</f>
      </c>
      <c r="N259" s="11">
        <f>IF((E259+F259)=0,"",ROUND(L259/(E259+F259),2))</f>
      </c>
    </row>
    <row r="260">
      <c r="H260" s="11">
        <f>IF(G260="","",ROUND(G260*'Cost Rates'!$B$3,2))</f>
      </c>
      <c r="J260" s="11">
        <f>IF(E260="","",ROUND((E260+F260)*'Cost Rates'!$B$4,2))</f>
      </c>
      <c r="K260" s="11">
        <f>IF(D260="","",SUM(H260,I260,J260)+'Cost Rates'!$B$5)</f>
      </c>
      <c r="L260" s="11">
        <f>IF(D260="","",D260-K260)</f>
      </c>
      <c r="M260" s="12">
        <f>IF(OR(D260="",D260=0),"",L260/D260)</f>
      </c>
      <c r="N260" s="11">
        <f>IF((E260+F260)=0,"",ROUND(L260/(E260+F260),2))</f>
      </c>
    </row>
    <row r="261">
      <c r="H261" s="11">
        <f>IF(G261="","",ROUND(G261*'Cost Rates'!$B$3,2))</f>
      </c>
      <c r="J261" s="11">
        <f>IF(E261="","",ROUND((E261+F261)*'Cost Rates'!$B$4,2))</f>
      </c>
      <c r="K261" s="11">
        <f>IF(D261="","",SUM(H261,I261,J261)+'Cost Rates'!$B$5)</f>
      </c>
      <c r="L261" s="11">
        <f>IF(D261="","",D261-K261)</f>
      </c>
      <c r="M261" s="12">
        <f>IF(OR(D261="",D261=0),"",L261/D261)</f>
      </c>
      <c r="N261" s="11">
        <f>IF((E261+F261)=0,"",ROUND(L261/(E261+F261),2))</f>
      </c>
    </row>
    <row r="262">
      <c r="H262" s="11">
        <f>IF(G262="","",ROUND(G262*'Cost Rates'!$B$3,2))</f>
      </c>
      <c r="J262" s="11">
        <f>IF(E262="","",ROUND((E262+F262)*'Cost Rates'!$B$4,2))</f>
      </c>
      <c r="K262" s="11">
        <f>IF(D262="","",SUM(H262,I262,J262)+'Cost Rates'!$B$5)</f>
      </c>
      <c r="L262" s="11">
        <f>IF(D262="","",D262-K262)</f>
      </c>
      <c r="M262" s="12">
        <f>IF(OR(D262="",D262=0),"",L262/D262)</f>
      </c>
      <c r="N262" s="11">
        <f>IF((E262+F262)=0,"",ROUND(L262/(E262+F262),2))</f>
      </c>
    </row>
    <row r="263">
      <c r="H263" s="11">
        <f>IF(G263="","",ROUND(G263*'Cost Rates'!$B$3,2))</f>
      </c>
      <c r="J263" s="11">
        <f>IF(E263="","",ROUND((E263+F263)*'Cost Rates'!$B$4,2))</f>
      </c>
      <c r="K263" s="11">
        <f>IF(D263="","",SUM(H263,I263,J263)+'Cost Rates'!$B$5)</f>
      </c>
      <c r="L263" s="11">
        <f>IF(D263="","",D263-K263)</f>
      </c>
      <c r="M263" s="12">
        <f>IF(OR(D263="",D263=0),"",L263/D263)</f>
      </c>
      <c r="N263" s="11">
        <f>IF((E263+F263)=0,"",ROUND(L263/(E263+F263),2))</f>
      </c>
    </row>
    <row r="264">
      <c r="H264" s="11">
        <f>IF(G264="","",ROUND(G264*'Cost Rates'!$B$3,2))</f>
      </c>
      <c r="J264" s="11">
        <f>IF(E264="","",ROUND((E264+F264)*'Cost Rates'!$B$4,2))</f>
      </c>
      <c r="K264" s="11">
        <f>IF(D264="","",SUM(H264,I264,J264)+'Cost Rates'!$B$5)</f>
      </c>
      <c r="L264" s="11">
        <f>IF(D264="","",D264-K264)</f>
      </c>
      <c r="M264" s="12">
        <f>IF(OR(D264="",D264=0),"",L264/D264)</f>
      </c>
      <c r="N264" s="11">
        <f>IF((E264+F264)=0,"",ROUND(L264/(E264+F264),2))</f>
      </c>
    </row>
    <row r="265">
      <c r="H265" s="11">
        <f>IF(G265="","",ROUND(G265*'Cost Rates'!$B$3,2))</f>
      </c>
      <c r="J265" s="11">
        <f>IF(E265="","",ROUND((E265+F265)*'Cost Rates'!$B$4,2))</f>
      </c>
      <c r="K265" s="11">
        <f>IF(D265="","",SUM(H265,I265,J265)+'Cost Rates'!$B$5)</f>
      </c>
      <c r="L265" s="11">
        <f>IF(D265="","",D265-K265)</f>
      </c>
      <c r="M265" s="12">
        <f>IF(OR(D265="",D265=0),"",L265/D265)</f>
      </c>
      <c r="N265" s="11">
        <f>IF((E265+F265)=0,"",ROUND(L265/(E265+F265),2))</f>
      </c>
    </row>
    <row r="266">
      <c r="H266" s="11">
        <f>IF(G266="","",ROUND(G266*'Cost Rates'!$B$3,2))</f>
      </c>
      <c r="J266" s="11">
        <f>IF(E266="","",ROUND((E266+F266)*'Cost Rates'!$B$4,2))</f>
      </c>
      <c r="K266" s="11">
        <f>IF(D266="","",SUM(H266,I266,J266)+'Cost Rates'!$B$5)</f>
      </c>
      <c r="L266" s="11">
        <f>IF(D266="","",D266-K266)</f>
      </c>
      <c r="M266" s="12">
        <f>IF(OR(D266="",D266=0),"",L266/D266)</f>
      </c>
      <c r="N266" s="11">
        <f>IF((E266+F266)=0,"",ROUND(L266/(E266+F266),2))</f>
      </c>
    </row>
    <row r="267">
      <c r="H267" s="11">
        <f>IF(G267="","",ROUND(G267*'Cost Rates'!$B$3,2))</f>
      </c>
      <c r="J267" s="11">
        <f>IF(E267="","",ROUND((E267+F267)*'Cost Rates'!$B$4,2))</f>
      </c>
      <c r="K267" s="11">
        <f>IF(D267="","",SUM(H267,I267,J267)+'Cost Rates'!$B$5)</f>
      </c>
      <c r="L267" s="11">
        <f>IF(D267="","",D267-K267)</f>
      </c>
      <c r="M267" s="12">
        <f>IF(OR(D267="",D267=0),"",L267/D267)</f>
      </c>
      <c r="N267" s="11">
        <f>IF((E267+F267)=0,"",ROUND(L267/(E267+F267),2))</f>
      </c>
    </row>
    <row r="268">
      <c r="H268" s="11">
        <f>IF(G268="","",ROUND(G268*'Cost Rates'!$B$3,2))</f>
      </c>
      <c r="J268" s="11">
        <f>IF(E268="","",ROUND((E268+F268)*'Cost Rates'!$B$4,2))</f>
      </c>
      <c r="K268" s="11">
        <f>IF(D268="","",SUM(H268,I268,J268)+'Cost Rates'!$B$5)</f>
      </c>
      <c r="L268" s="11">
        <f>IF(D268="","",D268-K268)</f>
      </c>
      <c r="M268" s="12">
        <f>IF(OR(D268="",D268=0),"",L268/D268)</f>
      </c>
      <c r="N268" s="11">
        <f>IF((E268+F268)=0,"",ROUND(L268/(E268+F268),2))</f>
      </c>
    </row>
    <row r="269">
      <c r="H269" s="11">
        <f>IF(G269="","",ROUND(G269*'Cost Rates'!$B$3,2))</f>
      </c>
      <c r="J269" s="11">
        <f>IF(E269="","",ROUND((E269+F269)*'Cost Rates'!$B$4,2))</f>
      </c>
      <c r="K269" s="11">
        <f>IF(D269="","",SUM(H269,I269,J269)+'Cost Rates'!$B$5)</f>
      </c>
      <c r="L269" s="11">
        <f>IF(D269="","",D269-K269)</f>
      </c>
      <c r="M269" s="12">
        <f>IF(OR(D269="",D269=0),"",L269/D269)</f>
      </c>
      <c r="N269" s="11">
        <f>IF((E269+F269)=0,"",ROUND(L269/(E269+F269),2))</f>
      </c>
    </row>
    <row r="270">
      <c r="H270" s="11">
        <f>IF(G270="","",ROUND(G270*'Cost Rates'!$B$3,2))</f>
      </c>
      <c r="J270" s="11">
        <f>IF(E270="","",ROUND((E270+F270)*'Cost Rates'!$B$4,2))</f>
      </c>
      <c r="K270" s="11">
        <f>IF(D270="","",SUM(H270,I270,J270)+'Cost Rates'!$B$5)</f>
      </c>
      <c r="L270" s="11">
        <f>IF(D270="","",D270-K270)</f>
      </c>
      <c r="M270" s="12">
        <f>IF(OR(D270="",D270=0),"",L270/D270)</f>
      </c>
      <c r="N270" s="11">
        <f>IF((E270+F270)=0,"",ROUND(L270/(E270+F270),2))</f>
      </c>
    </row>
    <row r="271">
      <c r="H271" s="11">
        <f>IF(G271="","",ROUND(G271*'Cost Rates'!$B$3,2))</f>
      </c>
      <c r="J271" s="11">
        <f>IF(E271="","",ROUND((E271+F271)*'Cost Rates'!$B$4,2))</f>
      </c>
      <c r="K271" s="11">
        <f>IF(D271="","",SUM(H271,I271,J271)+'Cost Rates'!$B$5)</f>
      </c>
      <c r="L271" s="11">
        <f>IF(D271="","",D271-K271)</f>
      </c>
      <c r="M271" s="12">
        <f>IF(OR(D271="",D271=0),"",L271/D271)</f>
      </c>
      <c r="N271" s="11">
        <f>IF((E271+F271)=0,"",ROUND(L271/(E271+F271),2))</f>
      </c>
    </row>
    <row r="272">
      <c r="H272" s="11">
        <f>IF(G272="","",ROUND(G272*'Cost Rates'!$B$3,2))</f>
      </c>
      <c r="J272" s="11">
        <f>IF(E272="","",ROUND((E272+F272)*'Cost Rates'!$B$4,2))</f>
      </c>
      <c r="K272" s="11">
        <f>IF(D272="","",SUM(H272,I272,J272)+'Cost Rates'!$B$5)</f>
      </c>
      <c r="L272" s="11">
        <f>IF(D272="","",D272-K272)</f>
      </c>
      <c r="M272" s="12">
        <f>IF(OR(D272="",D272=0),"",L272/D272)</f>
      </c>
      <c r="N272" s="11">
        <f>IF((E272+F272)=0,"",ROUND(L272/(E272+F272),2))</f>
      </c>
    </row>
    <row r="273">
      <c r="H273" s="11">
        <f>IF(G273="","",ROUND(G273*'Cost Rates'!$B$3,2))</f>
      </c>
      <c r="J273" s="11">
        <f>IF(E273="","",ROUND((E273+F273)*'Cost Rates'!$B$4,2))</f>
      </c>
      <c r="K273" s="11">
        <f>IF(D273="","",SUM(H273,I273,J273)+'Cost Rates'!$B$5)</f>
      </c>
      <c r="L273" s="11">
        <f>IF(D273="","",D273-K273)</f>
      </c>
      <c r="M273" s="12">
        <f>IF(OR(D273="",D273=0),"",L273/D273)</f>
      </c>
      <c r="N273" s="11">
        <f>IF((E273+F273)=0,"",ROUND(L273/(E273+F273),2))</f>
      </c>
    </row>
    <row r="274">
      <c r="H274" s="11">
        <f>IF(G274="","",ROUND(G274*'Cost Rates'!$B$3,2))</f>
      </c>
      <c r="J274" s="11">
        <f>IF(E274="","",ROUND((E274+F274)*'Cost Rates'!$B$4,2))</f>
      </c>
      <c r="K274" s="11">
        <f>IF(D274="","",SUM(H274,I274,J274)+'Cost Rates'!$B$5)</f>
      </c>
      <c r="L274" s="11">
        <f>IF(D274="","",D274-K274)</f>
      </c>
      <c r="M274" s="12">
        <f>IF(OR(D274="",D274=0),"",L274/D274)</f>
      </c>
      <c r="N274" s="11">
        <f>IF((E274+F274)=0,"",ROUND(L274/(E274+F274),2))</f>
      </c>
    </row>
    <row r="275">
      <c r="H275" s="11">
        <f>IF(G275="","",ROUND(G275*'Cost Rates'!$B$3,2))</f>
      </c>
      <c r="J275" s="11">
        <f>IF(E275="","",ROUND((E275+F275)*'Cost Rates'!$B$4,2))</f>
      </c>
      <c r="K275" s="11">
        <f>IF(D275="","",SUM(H275,I275,J275)+'Cost Rates'!$B$5)</f>
      </c>
      <c r="L275" s="11">
        <f>IF(D275="","",D275-K275)</f>
      </c>
      <c r="M275" s="12">
        <f>IF(OR(D275="",D275=0),"",L275/D275)</f>
      </c>
      <c r="N275" s="11">
        <f>IF((E275+F275)=0,"",ROUND(L275/(E275+F275),2))</f>
      </c>
    </row>
    <row r="276">
      <c r="H276" s="11">
        <f>IF(G276="","",ROUND(G276*'Cost Rates'!$B$3,2))</f>
      </c>
      <c r="J276" s="11">
        <f>IF(E276="","",ROUND((E276+F276)*'Cost Rates'!$B$4,2))</f>
      </c>
      <c r="K276" s="11">
        <f>IF(D276="","",SUM(H276,I276,J276)+'Cost Rates'!$B$5)</f>
      </c>
      <c r="L276" s="11">
        <f>IF(D276="","",D276-K276)</f>
      </c>
      <c r="M276" s="12">
        <f>IF(OR(D276="",D276=0),"",L276/D276)</f>
      </c>
      <c r="N276" s="11">
        <f>IF((E276+F276)=0,"",ROUND(L276/(E276+F276),2))</f>
      </c>
    </row>
    <row r="277">
      <c r="H277" s="11">
        <f>IF(G277="","",ROUND(G277*'Cost Rates'!$B$3,2))</f>
      </c>
      <c r="J277" s="11">
        <f>IF(E277="","",ROUND((E277+F277)*'Cost Rates'!$B$4,2))</f>
      </c>
      <c r="K277" s="11">
        <f>IF(D277="","",SUM(H277,I277,J277)+'Cost Rates'!$B$5)</f>
      </c>
      <c r="L277" s="11">
        <f>IF(D277="","",D277-K277)</f>
      </c>
      <c r="M277" s="12">
        <f>IF(OR(D277="",D277=0),"",L277/D277)</f>
      </c>
      <c r="N277" s="11">
        <f>IF((E277+F277)=0,"",ROUND(L277/(E277+F277),2))</f>
      </c>
    </row>
    <row r="278">
      <c r="H278" s="11">
        <f>IF(G278="","",ROUND(G278*'Cost Rates'!$B$3,2))</f>
      </c>
      <c r="J278" s="11">
        <f>IF(E278="","",ROUND((E278+F278)*'Cost Rates'!$B$4,2))</f>
      </c>
      <c r="K278" s="11">
        <f>IF(D278="","",SUM(H278,I278,J278)+'Cost Rates'!$B$5)</f>
      </c>
      <c r="L278" s="11">
        <f>IF(D278="","",D278-K278)</f>
      </c>
      <c r="M278" s="12">
        <f>IF(OR(D278="",D278=0),"",L278/D278)</f>
      </c>
      <c r="N278" s="11">
        <f>IF((E278+F278)=0,"",ROUND(L278/(E278+F278),2))</f>
      </c>
    </row>
    <row r="279">
      <c r="H279" s="11">
        <f>IF(G279="","",ROUND(G279*'Cost Rates'!$B$3,2))</f>
      </c>
      <c r="J279" s="11">
        <f>IF(E279="","",ROUND((E279+F279)*'Cost Rates'!$B$4,2))</f>
      </c>
      <c r="K279" s="11">
        <f>IF(D279="","",SUM(H279,I279,J279)+'Cost Rates'!$B$5)</f>
      </c>
      <c r="L279" s="11">
        <f>IF(D279="","",D279-K279)</f>
      </c>
      <c r="M279" s="12">
        <f>IF(OR(D279="",D279=0),"",L279/D279)</f>
      </c>
      <c r="N279" s="11">
        <f>IF((E279+F279)=0,"",ROUND(L279/(E279+F279),2))</f>
      </c>
    </row>
    <row r="280">
      <c r="H280" s="11">
        <f>IF(G280="","",ROUND(G280*'Cost Rates'!$B$3,2))</f>
      </c>
      <c r="J280" s="11">
        <f>IF(E280="","",ROUND((E280+F280)*'Cost Rates'!$B$4,2))</f>
      </c>
      <c r="K280" s="11">
        <f>IF(D280="","",SUM(H280,I280,J280)+'Cost Rates'!$B$5)</f>
      </c>
      <c r="L280" s="11">
        <f>IF(D280="","",D280-K280)</f>
      </c>
      <c r="M280" s="12">
        <f>IF(OR(D280="",D280=0),"",L280/D280)</f>
      </c>
      <c r="N280" s="11">
        <f>IF((E280+F280)=0,"",ROUND(L280/(E280+F280),2))</f>
      </c>
    </row>
    <row r="281">
      <c r="H281" s="11">
        <f>IF(G281="","",ROUND(G281*'Cost Rates'!$B$3,2))</f>
      </c>
      <c r="J281" s="11">
        <f>IF(E281="","",ROUND((E281+F281)*'Cost Rates'!$B$4,2))</f>
      </c>
      <c r="K281" s="11">
        <f>IF(D281="","",SUM(H281,I281,J281)+'Cost Rates'!$B$5)</f>
      </c>
      <c r="L281" s="11">
        <f>IF(D281="","",D281-K281)</f>
      </c>
      <c r="M281" s="12">
        <f>IF(OR(D281="",D281=0),"",L281/D281)</f>
      </c>
      <c r="N281" s="11">
        <f>IF((E281+F281)=0,"",ROUND(L281/(E281+F281),2))</f>
      </c>
    </row>
    <row r="282">
      <c r="H282" s="11">
        <f>IF(G282="","",ROUND(G282*'Cost Rates'!$B$3,2))</f>
      </c>
      <c r="J282" s="11">
        <f>IF(E282="","",ROUND((E282+F282)*'Cost Rates'!$B$4,2))</f>
      </c>
      <c r="K282" s="11">
        <f>IF(D282="","",SUM(H282,I282,J282)+'Cost Rates'!$B$5)</f>
      </c>
      <c r="L282" s="11">
        <f>IF(D282="","",D282-K282)</f>
      </c>
      <c r="M282" s="12">
        <f>IF(OR(D282="",D282=0),"",L282/D282)</f>
      </c>
      <c r="N282" s="11">
        <f>IF((E282+F282)=0,"",ROUND(L282/(E282+F282),2))</f>
      </c>
    </row>
    <row r="283">
      <c r="H283" s="11">
        <f>IF(G283="","",ROUND(G283*'Cost Rates'!$B$3,2))</f>
      </c>
      <c r="J283" s="11">
        <f>IF(E283="","",ROUND((E283+F283)*'Cost Rates'!$B$4,2))</f>
      </c>
      <c r="K283" s="11">
        <f>IF(D283="","",SUM(H283,I283,J283)+'Cost Rates'!$B$5)</f>
      </c>
      <c r="L283" s="11">
        <f>IF(D283="","",D283-K283)</f>
      </c>
      <c r="M283" s="12">
        <f>IF(OR(D283="",D283=0),"",L283/D283)</f>
      </c>
      <c r="N283" s="11">
        <f>IF((E283+F283)=0,"",ROUND(L283/(E283+F283),2))</f>
      </c>
    </row>
    <row r="284">
      <c r="H284" s="11">
        <f>IF(G284="","",ROUND(G284*'Cost Rates'!$B$3,2))</f>
      </c>
      <c r="J284" s="11">
        <f>IF(E284="","",ROUND((E284+F284)*'Cost Rates'!$B$4,2))</f>
      </c>
      <c r="K284" s="11">
        <f>IF(D284="","",SUM(H284,I284,J284)+'Cost Rates'!$B$5)</f>
      </c>
      <c r="L284" s="11">
        <f>IF(D284="","",D284-K284)</f>
      </c>
      <c r="M284" s="12">
        <f>IF(OR(D284="",D284=0),"",L284/D284)</f>
      </c>
      <c r="N284" s="11">
        <f>IF((E284+F284)=0,"",ROUND(L284/(E284+F284),2))</f>
      </c>
    </row>
    <row r="285">
      <c r="H285" s="11">
        <f>IF(G285="","",ROUND(G285*'Cost Rates'!$B$3,2))</f>
      </c>
      <c r="J285" s="11">
        <f>IF(E285="","",ROUND((E285+F285)*'Cost Rates'!$B$4,2))</f>
      </c>
      <c r="K285" s="11">
        <f>IF(D285="","",SUM(H285,I285,J285)+'Cost Rates'!$B$5)</f>
      </c>
      <c r="L285" s="11">
        <f>IF(D285="","",D285-K285)</f>
      </c>
      <c r="M285" s="12">
        <f>IF(OR(D285="",D285=0),"",L285/D285)</f>
      </c>
      <c r="N285" s="11">
        <f>IF((E285+F285)=0,"",ROUND(L285/(E285+F285),2))</f>
      </c>
    </row>
    <row r="286">
      <c r="H286" s="11">
        <f>IF(G286="","",ROUND(G286*'Cost Rates'!$B$3,2))</f>
      </c>
      <c r="J286" s="11">
        <f>IF(E286="","",ROUND((E286+F286)*'Cost Rates'!$B$4,2))</f>
      </c>
      <c r="K286" s="11">
        <f>IF(D286="","",SUM(H286,I286,J286)+'Cost Rates'!$B$5)</f>
      </c>
      <c r="L286" s="11">
        <f>IF(D286="","",D286-K286)</f>
      </c>
      <c r="M286" s="12">
        <f>IF(OR(D286="",D286=0),"",L286/D286)</f>
      </c>
      <c r="N286" s="11">
        <f>IF((E286+F286)=0,"",ROUND(L286/(E286+F286),2))</f>
      </c>
    </row>
    <row r="287">
      <c r="H287" s="11">
        <f>IF(G287="","",ROUND(G287*'Cost Rates'!$B$3,2))</f>
      </c>
      <c r="J287" s="11">
        <f>IF(E287="","",ROUND((E287+F287)*'Cost Rates'!$B$4,2))</f>
      </c>
      <c r="K287" s="11">
        <f>IF(D287="","",SUM(H287,I287,J287)+'Cost Rates'!$B$5)</f>
      </c>
      <c r="L287" s="11">
        <f>IF(D287="","",D287-K287)</f>
      </c>
      <c r="M287" s="12">
        <f>IF(OR(D287="",D287=0),"",L287/D287)</f>
      </c>
      <c r="N287" s="11">
        <f>IF((E287+F287)=0,"",ROUND(L287/(E287+F287),2))</f>
      </c>
    </row>
    <row r="288">
      <c r="H288" s="11">
        <f>IF(G288="","",ROUND(G288*'Cost Rates'!$B$3,2))</f>
      </c>
      <c r="J288" s="11">
        <f>IF(E288="","",ROUND((E288+F288)*'Cost Rates'!$B$4,2))</f>
      </c>
      <c r="K288" s="11">
        <f>IF(D288="","",SUM(H288,I288,J288)+'Cost Rates'!$B$5)</f>
      </c>
      <c r="L288" s="11">
        <f>IF(D288="","",D288-K288)</f>
      </c>
      <c r="M288" s="12">
        <f>IF(OR(D288="",D288=0),"",L288/D288)</f>
      </c>
      <c r="N288" s="11">
        <f>IF((E288+F288)=0,"",ROUND(L288/(E288+F288),2))</f>
      </c>
    </row>
    <row r="289">
      <c r="H289" s="11">
        <f>IF(G289="","",ROUND(G289*'Cost Rates'!$B$3,2))</f>
      </c>
      <c r="J289" s="11">
        <f>IF(E289="","",ROUND((E289+F289)*'Cost Rates'!$B$4,2))</f>
      </c>
      <c r="K289" s="11">
        <f>IF(D289="","",SUM(H289,I289,J289)+'Cost Rates'!$B$5)</f>
      </c>
      <c r="L289" s="11">
        <f>IF(D289="","",D289-K289)</f>
      </c>
      <c r="M289" s="12">
        <f>IF(OR(D289="",D289=0),"",L289/D289)</f>
      </c>
      <c r="N289" s="11">
        <f>IF((E289+F289)=0,"",ROUND(L289/(E289+F289),2))</f>
      </c>
    </row>
    <row r="290">
      <c r="H290" s="11">
        <f>IF(G290="","",ROUND(G290*'Cost Rates'!$B$3,2))</f>
      </c>
      <c r="J290" s="11">
        <f>IF(E290="","",ROUND((E290+F290)*'Cost Rates'!$B$4,2))</f>
      </c>
      <c r="K290" s="11">
        <f>IF(D290="","",SUM(H290,I290,J290)+'Cost Rates'!$B$5)</f>
      </c>
      <c r="L290" s="11">
        <f>IF(D290="","",D290-K290)</f>
      </c>
      <c r="M290" s="12">
        <f>IF(OR(D290="",D290=0),"",L290/D290)</f>
      </c>
      <c r="N290" s="11">
        <f>IF((E290+F290)=0,"",ROUND(L290/(E290+F290),2))</f>
      </c>
    </row>
    <row r="291">
      <c r="H291" s="11">
        <f>IF(G291="","",ROUND(G291*'Cost Rates'!$B$3,2))</f>
      </c>
      <c r="J291" s="11">
        <f>IF(E291="","",ROUND((E291+F291)*'Cost Rates'!$B$4,2))</f>
      </c>
      <c r="K291" s="11">
        <f>IF(D291="","",SUM(H291,I291,J291)+'Cost Rates'!$B$5)</f>
      </c>
      <c r="L291" s="11">
        <f>IF(D291="","",D291-K291)</f>
      </c>
      <c r="M291" s="12">
        <f>IF(OR(D291="",D291=0),"",L291/D291)</f>
      </c>
      <c r="N291" s="11">
        <f>IF((E291+F291)=0,"",ROUND(L291/(E291+F291),2))</f>
      </c>
    </row>
    <row r="292">
      <c r="H292" s="11">
        <f>IF(G292="","",ROUND(G292*'Cost Rates'!$B$3,2))</f>
      </c>
      <c r="J292" s="11">
        <f>IF(E292="","",ROUND((E292+F292)*'Cost Rates'!$B$4,2))</f>
      </c>
      <c r="K292" s="11">
        <f>IF(D292="","",SUM(H292,I292,J292)+'Cost Rates'!$B$5)</f>
      </c>
      <c r="L292" s="11">
        <f>IF(D292="","",D292-K292)</f>
      </c>
      <c r="M292" s="12">
        <f>IF(OR(D292="",D292=0),"",L292/D292)</f>
      </c>
      <c r="N292" s="11">
        <f>IF((E292+F292)=0,"",ROUND(L292/(E292+F292),2))</f>
      </c>
    </row>
    <row r="293">
      <c r="H293" s="11">
        <f>IF(G293="","",ROUND(G293*'Cost Rates'!$B$3,2))</f>
      </c>
      <c r="J293" s="11">
        <f>IF(E293="","",ROUND((E293+F293)*'Cost Rates'!$B$4,2))</f>
      </c>
      <c r="K293" s="11">
        <f>IF(D293="","",SUM(H293,I293,J293)+'Cost Rates'!$B$5)</f>
      </c>
      <c r="L293" s="11">
        <f>IF(D293="","",D293-K293)</f>
      </c>
      <c r="M293" s="12">
        <f>IF(OR(D293="",D293=0),"",L293/D293)</f>
      </c>
      <c r="N293" s="11">
        <f>IF((E293+F293)=0,"",ROUND(L293/(E293+F293),2))</f>
      </c>
    </row>
    <row r="294">
      <c r="H294" s="11">
        <f>IF(G294="","",ROUND(G294*'Cost Rates'!$B$3,2))</f>
      </c>
      <c r="J294" s="11">
        <f>IF(E294="","",ROUND((E294+F294)*'Cost Rates'!$B$4,2))</f>
      </c>
      <c r="K294" s="11">
        <f>IF(D294="","",SUM(H294,I294,J294)+'Cost Rates'!$B$5)</f>
      </c>
      <c r="L294" s="11">
        <f>IF(D294="","",D294-K294)</f>
      </c>
      <c r="M294" s="12">
        <f>IF(OR(D294="",D294=0),"",L294/D294)</f>
      </c>
      <c r="N294" s="11">
        <f>IF((E294+F294)=0,"",ROUND(L294/(E294+F294),2))</f>
      </c>
    </row>
    <row r="295">
      <c r="H295" s="11">
        <f>IF(G295="","",ROUND(G295*'Cost Rates'!$B$3,2))</f>
      </c>
      <c r="J295" s="11">
        <f>IF(E295="","",ROUND((E295+F295)*'Cost Rates'!$B$4,2))</f>
      </c>
      <c r="K295" s="11">
        <f>IF(D295="","",SUM(H295,I295,J295)+'Cost Rates'!$B$5)</f>
      </c>
      <c r="L295" s="11">
        <f>IF(D295="","",D295-K295)</f>
      </c>
      <c r="M295" s="12">
        <f>IF(OR(D295="",D295=0),"",L295/D295)</f>
      </c>
      <c r="N295" s="11">
        <f>IF((E295+F295)=0,"",ROUND(L295/(E295+F295),2))</f>
      </c>
    </row>
    <row r="296">
      <c r="H296" s="11">
        <f>IF(G296="","",ROUND(G296*'Cost Rates'!$B$3,2))</f>
      </c>
      <c r="J296" s="11">
        <f>IF(E296="","",ROUND((E296+F296)*'Cost Rates'!$B$4,2))</f>
      </c>
      <c r="K296" s="11">
        <f>IF(D296="","",SUM(H296,I296,J296)+'Cost Rates'!$B$5)</f>
      </c>
      <c r="L296" s="11">
        <f>IF(D296="","",D296-K296)</f>
      </c>
      <c r="M296" s="12">
        <f>IF(OR(D296="",D296=0),"",L296/D296)</f>
      </c>
      <c r="N296" s="11">
        <f>IF((E296+F296)=0,"",ROUND(L296/(E296+F296),2))</f>
      </c>
    </row>
    <row r="297">
      <c r="H297" s="11">
        <f>IF(G297="","",ROUND(G297*'Cost Rates'!$B$3,2))</f>
      </c>
      <c r="J297" s="11">
        <f>IF(E297="","",ROUND((E297+F297)*'Cost Rates'!$B$4,2))</f>
      </c>
      <c r="K297" s="11">
        <f>IF(D297="","",SUM(H297,I297,J297)+'Cost Rates'!$B$5)</f>
      </c>
      <c r="L297" s="11">
        <f>IF(D297="","",D297-K297)</f>
      </c>
      <c r="M297" s="12">
        <f>IF(OR(D297="",D297=0),"",L297/D297)</f>
      </c>
      <c r="N297" s="11">
        <f>IF((E297+F297)=0,"",ROUND(L297/(E297+F297),2))</f>
      </c>
    </row>
    <row r="298">
      <c r="H298" s="11">
        <f>IF(G298="","",ROUND(G298*'Cost Rates'!$B$3,2))</f>
      </c>
      <c r="J298" s="11">
        <f>IF(E298="","",ROUND((E298+F298)*'Cost Rates'!$B$4,2))</f>
      </c>
      <c r="K298" s="11">
        <f>IF(D298="","",SUM(H298,I298,J298)+'Cost Rates'!$B$5)</f>
      </c>
      <c r="L298" s="11">
        <f>IF(D298="","",D298-K298)</f>
      </c>
      <c r="M298" s="12">
        <f>IF(OR(D298="",D298=0),"",L298/D298)</f>
      </c>
      <c r="N298" s="11">
        <f>IF((E298+F298)=0,"",ROUND(L298/(E298+F298),2))</f>
      </c>
    </row>
    <row r="299">
      <c r="H299" s="11">
        <f>IF(G299="","",ROUND(G299*'Cost Rates'!$B$3,2))</f>
      </c>
      <c r="J299" s="11">
        <f>IF(E299="","",ROUND((E299+F299)*'Cost Rates'!$B$4,2))</f>
      </c>
      <c r="K299" s="11">
        <f>IF(D299="","",SUM(H299,I299,J299)+'Cost Rates'!$B$5)</f>
      </c>
      <c r="L299" s="11">
        <f>IF(D299="","",D299-K299)</f>
      </c>
      <c r="M299" s="12">
        <f>IF(OR(D299="",D299=0),"",L299/D299)</f>
      </c>
      <c r="N299" s="11">
        <f>IF((E299+F299)=0,"",ROUND(L299/(E299+F299),2))</f>
      </c>
    </row>
    <row r="300">
      <c r="H300" s="11">
        <f>IF(G300="","",ROUND(G300*'Cost Rates'!$B$3,2))</f>
      </c>
      <c r="J300" s="11">
        <f>IF(E300="","",ROUND((E300+F300)*'Cost Rates'!$B$4,2))</f>
      </c>
      <c r="K300" s="11">
        <f>IF(D300="","",SUM(H300,I300,J300)+'Cost Rates'!$B$5)</f>
      </c>
      <c r="L300" s="11">
        <f>IF(D300="","",D300-K300)</f>
      </c>
      <c r="M300" s="12">
        <f>IF(OR(D300="",D300=0),"",L300/D300)</f>
      </c>
      <c r="N300" s="11">
        <f>IF((E300+F300)=0,"",ROUND(L300/(E300+F300),2))</f>
      </c>
    </row>
  </sheetData>
  <autoFilter ref="A1:N300"/>
  <conditionalFormatting sqref="M2:M300">
    <cfRule type="cellIs" dxfId="1" priority="1" operator="lessThan">
      <formula>0.2</formula>
    </cfRule>
    <cfRule type="cellIs" dxfId="0" priority="2" operator="greaterThanOrEqual">
      <formula>0.4</formula>
    </cfRule>
  </conditionalFormatting>
</worksheet>
</file>

<file path=xl/worksheets/sheet3.xml><?xml version="1.0" encoding="utf-8"?>
<worksheet xmlns="http://schemas.openxmlformats.org/spreadsheetml/2006/main">
  <sheetViews>
    <sheetView workbookViewId="0"/>
  </sheetViews>
  <cols>
    <col min="1" max="1" width="34" customWidth="1"/>
    <col min="2" max="2" width="14" customWidth="1"/>
    <col min="3" max="3" width="62" customWidth="1"/>
  </cols>
  <sheetData>
    <row r="1">
      <c r="A1" s="2" t="inlineStr">
        <is>
          <t xml:space="preserve">COST RATES — set these once, revisit quarterly</t>
        </is>
      </c>
      <c r="B1" s="2" t="inlineStr">
        <is>
          <t xml:space="preserve"/>
        </is>
      </c>
      <c r="C1" s="2" t="inlineStr">
        <is>
          <t xml:space="preserve"/>
        </is>
      </c>
    </row>
    <row r="3">
      <c r="A3" s="3" t="inlineStr">
        <is>
          <t xml:space="preserve">Chemical cost per mixed gallon ($)</t>
        </is>
      </c>
      <c r="B3" s="6">
        <v>0.85</v>
      </c>
      <c r="C3" s="14" t="inlineStr">
        <is>
          <t xml:space="preserve">Work this out once from your concentrate cost and dilution ratio. Guessing here makes every row below a guess.</t>
        </is>
      </c>
    </row>
    <row r="4">
      <c r="A4" s="3" t="inlineStr">
        <is>
          <t xml:space="preserve">Labor cost per hour ($)</t>
        </is>
      </c>
      <c r="B4" s="6">
        <v>25</v>
      </c>
      <c r="C4" s="14" t="inlineStr">
        <is>
          <t xml:space="preserve">What the hour costs you. If you're solo, use what you'd pay someone to replace you — otherwise you'll think you're profitable when you've just worked for free.</t>
        </is>
      </c>
    </row>
    <row r="5">
      <c r="A5" s="3" t="inlineStr">
        <is>
          <t xml:space="preserve">Equipment reserve per job ($)</t>
        </is>
      </c>
      <c r="B5" s="6">
        <v>12</v>
      </c>
      <c r="C5" s="14" t="inlineStr">
        <is>
          <t xml:space="preserve">Pumps, hoses, and surface cleaners wear out. Charge yourself for it now so the replacement isn't a crisis later.</t>
        </is>
      </c>
    </row>
    <row r="8">
      <c r="A8" s="2" t="inlineStr">
        <is>
          <t xml:space="preserve">TOTALS</t>
        </is>
      </c>
      <c r="B8" s="2" t="inlineStr">
        <is>
          <t xml:space="preserve"/>
        </is>
      </c>
      <c r="C8" s="2" t="inlineStr">
        <is>
          <t xml:space="preserve"/>
        </is>
      </c>
    </row>
    <row r="9">
      <c r="A9" s="3" t="inlineStr">
        <is>
          <t xml:space="preserve">Jobs costed</t>
        </is>
      </c>
      <c r="B9" s="9">
        <f>COUNT('Job Log'!D2:D300)</f>
      </c>
    </row>
    <row r="10">
      <c r="A10" s="3" t="inlineStr">
        <is>
          <t xml:space="preserve">Total quoted</t>
        </is>
      </c>
      <c r="B10" s="11">
        <f>SUM('Job Log'!D2:D300)</f>
      </c>
    </row>
    <row r="11">
      <c r="A11" s="3" t="inlineStr">
        <is>
          <t xml:space="preserve">Total cost</t>
        </is>
      </c>
      <c r="B11" s="11">
        <f>SUM('Job Log'!K2:K300)</f>
      </c>
    </row>
    <row r="12">
      <c r="A12" s="3" t="inlineStr">
        <is>
          <t xml:space="preserve">Total profit</t>
        </is>
      </c>
      <c r="B12" s="11">
        <f>SUM('Job Log'!L2:L300)</f>
      </c>
    </row>
    <row r="13">
      <c r="A13" s="3" t="inlineStr">
        <is>
          <t xml:space="preserve">Average margin</t>
        </is>
      </c>
      <c r="B13" s="12">
        <f>IFERROR(AVERAGE('Job Log'!M2:M300),"")</f>
      </c>
    </row>
    <row r="14">
      <c r="A14" s="3" t="inlineStr">
        <is>
          <t xml:space="preserve">Average true $/hr</t>
        </is>
      </c>
      <c r="B14" s="11">
        <f>IFERROR(AVERAGE('Job Log'!N2:N300),"")</f>
      </c>
    </row>
    <row r="16">
      <c r="A16" s="14" t="inlineStr">
        <is>
          <t xml:space="preserve">Margins under 20% show red on the Job Log. Two or three reds on the same service type is not bad luck — it's a pricing problem, and the fix is the Pricing Calculator, not working faster.</t>
        </is>
      </c>
    </row>
  </sheetData>
  <mergeCells count="3">
    <mergeCell ref="A1:C1"/>
    <mergeCell ref="A8:C8"/>
    <mergeCell ref="A16:C16"/>
  </mergeCells>
</worksheet>
</file>