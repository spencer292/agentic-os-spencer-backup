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Jobs" sheetId="2" r:id="rId2"/>
    <sheet name="Follow-Up" sheetId="3" r:id="rId3"/>
  </sheets>
  <calcPr calcId="171027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"/>
    <numFmt numFmtId="166" formatCode="mmm\ yyyy"/>
    <numFmt numFmtId="167" formatCode="mmm"/>
    <numFmt numFmtId="168" formatCode="yyyy\-mm\-dd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A7F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 applyFont="1" applyFill="1"/>
    <xf numFmtId="0" fontId="4" fillId="0" borderId="0" xfId="0" applyNumberFormat="1" applyFont="1" applyFill="1"/>
    <xf numFmtId="0" fontId="2" fillId="4" borderId="0" xfId="0" applyNumberFormat="1" applyFont="1" applyFill="1"/>
    <xf numFmtId="0" fontId="1" fillId="0" borderId="0" xfId="0" applyNumberFormat="1" applyFont="1" applyFill="1"/>
    <xf numFmtId="0" fontId="0" fillId="2" borderId="0" xfId="0" applyNumberFormat="1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68" fontId="0" fillId="2" borderId="0" xfId="0" applyNumberFormat="1" applyFont="1" applyFill="1"/>
    <xf numFmtId="1" fontId="0" fillId="2" borderId="0" xfId="0" applyNumberFormat="1" applyFont="1" applyFill="1"/>
    <xf numFmtId="0" fontId="0" fillId="3" borderId="0" xfId="0" applyNumberFormat="1" applyFont="1" applyFill="1"/>
    <xf numFmtId="165" fontId="0" fillId="3" borderId="0" xfId="0" applyNumberFormat="1" applyFont="1" applyFill="1"/>
    <xf numFmtId="164" fontId="0" fillId="3" borderId="0" xfId="0" applyNumberFormat="1" applyFont="1" applyFill="1"/>
    <xf numFmtId="9" fontId="0" fillId="3" borderId="0" xfId="0" applyNumberFormat="1" applyFont="1" applyFill="1"/>
    <xf numFmtId="166" fontId="0" fillId="3" borderId="0" xfId="0" applyNumberFormat="1" applyFont="1" applyFill="1"/>
    <xf numFmtId="0" fontId="3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 vertical="top"/>
    </xf>
    <xf numFmtId="167" fontId="2" fillId="4" borderId="0" xfId="0" applyNumberFormat="1" applyFont="1" applyFill="1"/>
    <xf numFmtId="0" fontId="0" fillId="3" borderId="0" xfId="0" applyNumberFormat="1" applyFont="1" applyFill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5" t="inlineStr">
        <is>
          <t xml:space="preserve">Job &amp; Client Tracker — how to use
Pressure washing is mostly one-off work, which means the money is in the FOLLOW-UP. A house washed this year needs it again in 12-24 months; a driveway sooner. The operators who build a real business are the ones who call back — everyone else starts from zero every spring.
Jobs tab: log every completed job with the date, service, and price. The Next Service Due column calculates automatically from the service interval you set.
Follow-Up tab: shows what's due. Work this list every month — it is the cheapest lead source you will ever have, and those customers already trust you.
Referral column: track who sent you. When you know your top referrers, you know exactly who deserves the holiday card and the discount.
Convention: yellow cells = inputs (type here), green cells = outputs (never type here).</t>
        </is>
      </c>
    </row>
  </sheetData>
  <mergeCells count="1">
    <mergeCell ref="A1:F16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20" customWidth="1"/>
    <col min="3" max="3" width="24" customWidth="1"/>
    <col min="4" max="4" width="12" customWidth="1"/>
    <col min="5" max="5" width="32" customWidth="1"/>
    <col min="6" max="6" width="11" customWidth="1"/>
    <col min="7" max="7" width="8" customWidth="1"/>
    <col min="8" max="8" width="10" customWidth="1"/>
    <col min="9" max="9" width="15" customWidth="1"/>
    <col min="10" max="10" width="16" customWidth="1"/>
    <col min="11" max="11" width="16" customWidth="1"/>
    <col min="12" max="12" width="44" customWidth="1"/>
  </cols>
  <sheetData>
    <row r="1">
      <c r="A1" s="2" t="inlineStr">
        <is>
          <t xml:space="preserve">Date</t>
        </is>
      </c>
      <c r="B1" s="2" t="inlineStr">
        <is>
          <t xml:space="preserve">Customer</t>
        </is>
      </c>
      <c r="C1" s="2" t="inlineStr">
        <is>
          <t xml:space="preserve">Address</t>
        </is>
      </c>
      <c r="D1" s="2" t="inlineStr">
        <is>
          <t xml:space="preserve">Phone</t>
        </is>
      </c>
      <c r="E1" s="2" t="inlineStr">
        <is>
          <t xml:space="preserve">Service</t>
        </is>
      </c>
      <c r="F1" s="2" t="inlineStr">
        <is>
          <t xml:space="preserve">Price ($)</t>
        </is>
      </c>
      <c r="G1" s="2" t="inlineStr">
        <is>
          <t xml:space="preserve">Hours</t>
        </is>
      </c>
      <c r="H1" s="2" t="inlineStr">
        <is>
          <t xml:space="preserve">$/hr</t>
        </is>
      </c>
      <c r="I1" s="2" t="inlineStr">
        <is>
          <t xml:space="preserve">Interval (months)</t>
        </is>
      </c>
      <c r="J1" s="2" t="inlineStr">
        <is>
          <t xml:space="preserve">Next Service Due</t>
        </is>
      </c>
      <c r="K1" s="2" t="inlineStr">
        <is>
          <t xml:space="preserve">Referred By</t>
        </is>
      </c>
      <c r="L1" s="2" t="inlineStr">
        <is>
          <t xml:space="preserve">Notes</t>
        </is>
      </c>
    </row>
    <row r="2">
      <c r="A2" s="7">
        <v>46156</v>
      </c>
      <c r="B2" s="4" t="inlineStr">
        <is>
          <t xml:space="preserve">Alvarez, R.</t>
        </is>
      </c>
      <c r="C2" s="4" t="inlineStr">
        <is>
          <t xml:space="preserve">418 Maple Ct</t>
        </is>
      </c>
      <c r="D2" s="4" t="inlineStr">
        <is>
          <t xml:space="preserve">555-0141</t>
        </is>
      </c>
      <c r="E2" s="4" t="inlineStr">
        <is>
          <t xml:space="preserve">House Wash (Soft Wash)</t>
        </is>
      </c>
      <c r="F2" s="6">
        <v>350</v>
      </c>
      <c r="G2" s="5">
        <v>3.25</v>
      </c>
      <c r="H2" s="11">
        <f>IF(G2=0,"",ROUND(F2/G2,2))</f>
      </c>
      <c r="I2" s="8">
        <v>18</v>
      </c>
      <c r="J2" s="9">
        <f>IF(OR(A2="",I2=""),"",EDATE(A2,I2))</f>
      </c>
      <c r="K2" s="4" t="inlineStr">
        <is>
          <t xml:space="preserve">Google</t>
        </is>
      </c>
      <c r="L2" s="4" t="inlineStr">
        <is>
          <t xml:space="preserve">Chalky aluminum on south side — soft wash only, noted on file</t>
        </is>
      </c>
    </row>
    <row r="3">
      <c r="A3" s="7">
        <v>46175</v>
      </c>
      <c r="B3" s="4" t="inlineStr">
        <is>
          <t xml:space="preserve">Nguyen, T.</t>
        </is>
      </c>
      <c r="C3" s="4" t="inlineStr">
        <is>
          <t xml:space="preserve">77 Birchwood Dr</t>
        </is>
      </c>
      <c r="D3" s="4" t="inlineStr">
        <is>
          <t xml:space="preserve">555-0177</t>
        </is>
      </c>
      <c r="E3" s="4" t="inlineStr">
        <is>
          <t xml:space="preserve">Driveway / Flatwork (Surface Cleaner)</t>
        </is>
      </c>
      <c r="F3" s="6">
        <v>225</v>
      </c>
      <c r="G3" s="5">
        <v>1.75</v>
      </c>
      <c r="H3" s="11">
        <f>IF(G3=0,"",ROUND(F3/G3,2))</f>
      </c>
      <c r="I3" s="8">
        <v>12</v>
      </c>
      <c r="J3" s="9">
        <f>IF(OR(A3="",I3=""),"",EDATE(A3,I3))</f>
      </c>
      <c r="K3" s="4" t="inlineStr">
        <is>
          <t xml:space="preserve">Alvarez, R.</t>
        </is>
      </c>
      <c r="L3" s="4" t="inlineStr">
        <is>
          <t xml:space="preserve">Oil stain at apron — treated, lightened not removed</t>
        </is>
      </c>
    </row>
    <row r="4">
      <c r="H4" s="11">
        <f>IF(G4=0,"",ROUND(F4/G4,2))</f>
      </c>
      <c r="J4" s="9">
        <f>IF(OR(A4="",I4=""),"",EDATE(A4,I4))</f>
      </c>
    </row>
    <row r="5">
      <c r="H5" s="11">
        <f>IF(G5=0,"",ROUND(F5/G5,2))</f>
      </c>
      <c r="J5" s="9">
        <f>IF(OR(A5="",I5=""),"",EDATE(A5,I5))</f>
      </c>
    </row>
    <row r="6">
      <c r="H6" s="11">
        <f>IF(G6=0,"",ROUND(F6/G6,2))</f>
      </c>
      <c r="J6" s="9">
        <f>IF(OR(A6="",I6=""),"",EDATE(A6,I6))</f>
      </c>
    </row>
    <row r="7">
      <c r="H7" s="11">
        <f>IF(G7=0,"",ROUND(F7/G7,2))</f>
      </c>
      <c r="J7" s="9">
        <f>IF(OR(A7="",I7=""),"",EDATE(A7,I7))</f>
      </c>
    </row>
    <row r="8">
      <c r="H8" s="11">
        <f>IF(G8=0,"",ROUND(F8/G8,2))</f>
      </c>
      <c r="J8" s="9">
        <f>IF(OR(A8="",I8=""),"",EDATE(A8,I8))</f>
      </c>
    </row>
    <row r="9">
      <c r="H9" s="11">
        <f>IF(G9=0,"",ROUND(F9/G9,2))</f>
      </c>
      <c r="J9" s="9">
        <f>IF(OR(A9="",I9=""),"",EDATE(A9,I9))</f>
      </c>
    </row>
    <row r="10">
      <c r="H10" s="11">
        <f>IF(G10=0,"",ROUND(F10/G10,2))</f>
      </c>
      <c r="J10" s="9">
        <f>IF(OR(A10="",I10=""),"",EDATE(A10,I10))</f>
      </c>
    </row>
    <row r="11">
      <c r="H11" s="11">
        <f>IF(G11=0,"",ROUND(F11/G11,2))</f>
      </c>
      <c r="J11" s="9">
        <f>IF(OR(A11="",I11=""),"",EDATE(A11,I11))</f>
      </c>
    </row>
    <row r="12">
      <c r="H12" s="11">
        <f>IF(G12=0,"",ROUND(F12/G12,2))</f>
      </c>
      <c r="J12" s="9">
        <f>IF(OR(A12="",I12=""),"",EDATE(A12,I12))</f>
      </c>
    </row>
    <row r="13">
      <c r="H13" s="11">
        <f>IF(G13=0,"",ROUND(F13/G13,2))</f>
      </c>
      <c r="J13" s="9">
        <f>IF(OR(A13="",I13=""),"",EDATE(A13,I13))</f>
      </c>
    </row>
    <row r="14">
      <c r="H14" s="11">
        <f>IF(G14=0,"",ROUND(F14/G14,2))</f>
      </c>
      <c r="J14" s="9">
        <f>IF(OR(A14="",I14=""),"",EDATE(A14,I14))</f>
      </c>
    </row>
    <row r="15">
      <c r="H15" s="11">
        <f>IF(G15=0,"",ROUND(F15/G15,2))</f>
      </c>
      <c r="J15" s="9">
        <f>IF(OR(A15="",I15=""),"",EDATE(A15,I15))</f>
      </c>
    </row>
    <row r="16">
      <c r="H16" s="11">
        <f>IF(G16=0,"",ROUND(F16/G16,2))</f>
      </c>
      <c r="J16" s="9">
        <f>IF(OR(A16="",I16=""),"",EDATE(A16,I16))</f>
      </c>
    </row>
    <row r="17">
      <c r="H17" s="11">
        <f>IF(G17=0,"",ROUND(F17/G17,2))</f>
      </c>
      <c r="J17" s="9">
        <f>IF(OR(A17="",I17=""),"",EDATE(A17,I17))</f>
      </c>
    </row>
    <row r="18">
      <c r="H18" s="11">
        <f>IF(G18=0,"",ROUND(F18/G18,2))</f>
      </c>
      <c r="J18" s="9">
        <f>IF(OR(A18="",I18=""),"",EDATE(A18,I18))</f>
      </c>
    </row>
    <row r="19">
      <c r="H19" s="11">
        <f>IF(G19=0,"",ROUND(F19/G19,2))</f>
      </c>
      <c r="J19" s="9">
        <f>IF(OR(A19="",I19=""),"",EDATE(A19,I19))</f>
      </c>
    </row>
    <row r="20">
      <c r="H20" s="11">
        <f>IF(G20=0,"",ROUND(F20/G20,2))</f>
      </c>
      <c r="J20" s="9">
        <f>IF(OR(A20="",I20=""),"",EDATE(A20,I20))</f>
      </c>
    </row>
    <row r="21">
      <c r="H21" s="11">
        <f>IF(G21=0,"",ROUND(F21/G21,2))</f>
      </c>
      <c r="J21" s="9">
        <f>IF(OR(A21="",I21=""),"",EDATE(A21,I21))</f>
      </c>
    </row>
    <row r="22">
      <c r="H22" s="11">
        <f>IF(G22=0,"",ROUND(F22/G22,2))</f>
      </c>
      <c r="J22" s="9">
        <f>IF(OR(A22="",I22=""),"",EDATE(A22,I22))</f>
      </c>
    </row>
    <row r="23">
      <c r="H23" s="11">
        <f>IF(G23=0,"",ROUND(F23/G23,2))</f>
      </c>
      <c r="J23" s="9">
        <f>IF(OR(A23="",I23=""),"",EDATE(A23,I23))</f>
      </c>
    </row>
    <row r="24">
      <c r="H24" s="11">
        <f>IF(G24=0,"",ROUND(F24/G24,2))</f>
      </c>
      <c r="J24" s="9">
        <f>IF(OR(A24="",I24=""),"",EDATE(A24,I24))</f>
      </c>
    </row>
    <row r="25">
      <c r="H25" s="11">
        <f>IF(G25=0,"",ROUND(F25/G25,2))</f>
      </c>
      <c r="J25" s="9">
        <f>IF(OR(A25="",I25=""),"",EDATE(A25,I25))</f>
      </c>
    </row>
    <row r="26">
      <c r="H26" s="11">
        <f>IF(G26=0,"",ROUND(F26/G26,2))</f>
      </c>
      <c r="J26" s="9">
        <f>IF(OR(A26="",I26=""),"",EDATE(A26,I26))</f>
      </c>
    </row>
    <row r="27">
      <c r="H27" s="11">
        <f>IF(G27=0,"",ROUND(F27/G27,2))</f>
      </c>
      <c r="J27" s="9">
        <f>IF(OR(A27="",I27=""),"",EDATE(A27,I27))</f>
      </c>
    </row>
    <row r="28">
      <c r="H28" s="11">
        <f>IF(G28=0,"",ROUND(F28/G28,2))</f>
      </c>
      <c r="J28" s="9">
        <f>IF(OR(A28="",I28=""),"",EDATE(A28,I28))</f>
      </c>
    </row>
    <row r="29">
      <c r="H29" s="11">
        <f>IF(G29=0,"",ROUND(F29/G29,2))</f>
      </c>
      <c r="J29" s="9">
        <f>IF(OR(A29="",I29=""),"",EDATE(A29,I29))</f>
      </c>
    </row>
    <row r="30">
      <c r="H30" s="11">
        <f>IF(G30=0,"",ROUND(F30/G30,2))</f>
      </c>
      <c r="J30" s="9">
        <f>IF(OR(A30="",I30=""),"",EDATE(A30,I30))</f>
      </c>
    </row>
    <row r="31">
      <c r="H31" s="11">
        <f>IF(G31=0,"",ROUND(F31/G31,2))</f>
      </c>
      <c r="J31" s="9">
        <f>IF(OR(A31="",I31=""),"",EDATE(A31,I31))</f>
      </c>
    </row>
    <row r="32">
      <c r="H32" s="11">
        <f>IF(G32=0,"",ROUND(F32/G32,2))</f>
      </c>
      <c r="J32" s="9">
        <f>IF(OR(A32="",I32=""),"",EDATE(A32,I32))</f>
      </c>
    </row>
    <row r="33">
      <c r="H33" s="11">
        <f>IF(G33=0,"",ROUND(F33/G33,2))</f>
      </c>
      <c r="J33" s="9">
        <f>IF(OR(A33="",I33=""),"",EDATE(A33,I33))</f>
      </c>
    </row>
    <row r="34">
      <c r="H34" s="11">
        <f>IF(G34=0,"",ROUND(F34/G34,2))</f>
      </c>
      <c r="J34" s="9">
        <f>IF(OR(A34="",I34=""),"",EDATE(A34,I34))</f>
      </c>
    </row>
    <row r="35">
      <c r="H35" s="11">
        <f>IF(G35=0,"",ROUND(F35/G35,2))</f>
      </c>
      <c r="J35" s="9">
        <f>IF(OR(A35="",I35=""),"",EDATE(A35,I35))</f>
      </c>
    </row>
    <row r="36">
      <c r="H36" s="11">
        <f>IF(G36=0,"",ROUND(F36/G36,2))</f>
      </c>
      <c r="J36" s="9">
        <f>IF(OR(A36="",I36=""),"",EDATE(A36,I36))</f>
      </c>
    </row>
    <row r="37">
      <c r="H37" s="11">
        <f>IF(G37=0,"",ROUND(F37/G37,2))</f>
      </c>
      <c r="J37" s="9">
        <f>IF(OR(A37="",I37=""),"",EDATE(A37,I37))</f>
      </c>
    </row>
    <row r="38">
      <c r="H38" s="11">
        <f>IF(G38=0,"",ROUND(F38/G38,2))</f>
      </c>
      <c r="J38" s="9">
        <f>IF(OR(A38="",I38=""),"",EDATE(A38,I38))</f>
      </c>
    </row>
    <row r="39">
      <c r="H39" s="11">
        <f>IF(G39=0,"",ROUND(F39/G39,2))</f>
      </c>
      <c r="J39" s="9">
        <f>IF(OR(A39="",I39=""),"",EDATE(A39,I39))</f>
      </c>
    </row>
    <row r="40">
      <c r="H40" s="11">
        <f>IF(G40=0,"",ROUND(F40/G40,2))</f>
      </c>
      <c r="J40" s="9">
        <f>IF(OR(A40="",I40=""),"",EDATE(A40,I40))</f>
      </c>
    </row>
    <row r="41">
      <c r="H41" s="11">
        <f>IF(G41=0,"",ROUND(F41/G41,2))</f>
      </c>
      <c r="J41" s="9">
        <f>IF(OR(A41="",I41=""),"",EDATE(A41,I41))</f>
      </c>
    </row>
    <row r="42">
      <c r="H42" s="11">
        <f>IF(G42=0,"",ROUND(F42/G42,2))</f>
      </c>
      <c r="J42" s="9">
        <f>IF(OR(A42="",I42=""),"",EDATE(A42,I42))</f>
      </c>
    </row>
    <row r="43">
      <c r="H43" s="11">
        <f>IF(G43=0,"",ROUND(F43/G43,2))</f>
      </c>
      <c r="J43" s="9">
        <f>IF(OR(A43="",I43=""),"",EDATE(A43,I43))</f>
      </c>
    </row>
    <row r="44">
      <c r="H44" s="11">
        <f>IF(G44=0,"",ROUND(F44/G44,2))</f>
      </c>
      <c r="J44" s="9">
        <f>IF(OR(A44="",I44=""),"",EDATE(A44,I44))</f>
      </c>
    </row>
    <row r="45">
      <c r="H45" s="11">
        <f>IF(G45=0,"",ROUND(F45/G45,2))</f>
      </c>
      <c r="J45" s="9">
        <f>IF(OR(A45="",I45=""),"",EDATE(A45,I45))</f>
      </c>
    </row>
    <row r="46">
      <c r="H46" s="11">
        <f>IF(G46=0,"",ROUND(F46/G46,2))</f>
      </c>
      <c r="J46" s="9">
        <f>IF(OR(A46="",I46=""),"",EDATE(A46,I46))</f>
      </c>
    </row>
    <row r="47">
      <c r="H47" s="11">
        <f>IF(G47=0,"",ROUND(F47/G47,2))</f>
      </c>
      <c r="J47" s="9">
        <f>IF(OR(A47="",I47=""),"",EDATE(A47,I47))</f>
      </c>
    </row>
    <row r="48">
      <c r="H48" s="11">
        <f>IF(G48=0,"",ROUND(F48/G48,2))</f>
      </c>
      <c r="J48" s="9">
        <f>IF(OR(A48="",I48=""),"",EDATE(A48,I48))</f>
      </c>
    </row>
    <row r="49">
      <c r="H49" s="11">
        <f>IF(G49=0,"",ROUND(F49/G49,2))</f>
      </c>
      <c r="J49" s="9">
        <f>IF(OR(A49="",I49=""),"",EDATE(A49,I49))</f>
      </c>
    </row>
    <row r="50">
      <c r="H50" s="11">
        <f>IF(G50=0,"",ROUND(F50/G50,2))</f>
      </c>
      <c r="J50" s="9">
        <f>IF(OR(A50="",I50=""),"",EDATE(A50,I50))</f>
      </c>
    </row>
    <row r="51">
      <c r="H51" s="11">
        <f>IF(G51=0,"",ROUND(F51/G51,2))</f>
      </c>
      <c r="J51" s="9">
        <f>IF(OR(A51="",I51=""),"",EDATE(A51,I51))</f>
      </c>
    </row>
    <row r="52">
      <c r="H52" s="11">
        <f>IF(G52=0,"",ROUND(F52/G52,2))</f>
      </c>
      <c r="J52" s="9">
        <f>IF(OR(A52="",I52=""),"",EDATE(A52,I52))</f>
      </c>
    </row>
    <row r="53">
      <c r="H53" s="11">
        <f>IF(G53=0,"",ROUND(F53/G53,2))</f>
      </c>
      <c r="J53" s="9">
        <f>IF(OR(A53="",I53=""),"",EDATE(A53,I53))</f>
      </c>
    </row>
    <row r="54">
      <c r="H54" s="11">
        <f>IF(G54=0,"",ROUND(F54/G54,2))</f>
      </c>
      <c r="J54" s="9">
        <f>IF(OR(A54="",I54=""),"",EDATE(A54,I54))</f>
      </c>
    </row>
    <row r="55">
      <c r="H55" s="11">
        <f>IF(G55=0,"",ROUND(F55/G55,2))</f>
      </c>
      <c r="J55" s="9">
        <f>IF(OR(A55="",I55=""),"",EDATE(A55,I55))</f>
      </c>
    </row>
    <row r="56">
      <c r="H56" s="11">
        <f>IF(G56=0,"",ROUND(F56/G56,2))</f>
      </c>
      <c r="J56" s="9">
        <f>IF(OR(A56="",I56=""),"",EDATE(A56,I56))</f>
      </c>
    </row>
    <row r="57">
      <c r="H57" s="11">
        <f>IF(G57=0,"",ROUND(F57/G57,2))</f>
      </c>
      <c r="J57" s="9">
        <f>IF(OR(A57="",I57=""),"",EDATE(A57,I57))</f>
      </c>
    </row>
    <row r="58">
      <c r="H58" s="11">
        <f>IF(G58=0,"",ROUND(F58/G58,2))</f>
      </c>
      <c r="J58" s="9">
        <f>IF(OR(A58="",I58=""),"",EDATE(A58,I58))</f>
      </c>
    </row>
    <row r="59">
      <c r="H59" s="11">
        <f>IF(G59=0,"",ROUND(F59/G59,2))</f>
      </c>
      <c r="J59" s="9">
        <f>IF(OR(A59="",I59=""),"",EDATE(A59,I59))</f>
      </c>
    </row>
    <row r="60">
      <c r="H60" s="11">
        <f>IF(G60=0,"",ROUND(F60/G60,2))</f>
      </c>
      <c r="J60" s="9">
        <f>IF(OR(A60="",I60=""),"",EDATE(A60,I60))</f>
      </c>
    </row>
    <row r="61">
      <c r="H61" s="11">
        <f>IF(G61=0,"",ROUND(F61/G61,2))</f>
      </c>
      <c r="J61" s="9">
        <f>IF(OR(A61="",I61=""),"",EDATE(A61,I61))</f>
      </c>
    </row>
    <row r="62">
      <c r="H62" s="11">
        <f>IF(G62=0,"",ROUND(F62/G62,2))</f>
      </c>
      <c r="J62" s="9">
        <f>IF(OR(A62="",I62=""),"",EDATE(A62,I62))</f>
      </c>
    </row>
    <row r="63">
      <c r="H63" s="11">
        <f>IF(G63=0,"",ROUND(F63/G63,2))</f>
      </c>
      <c r="J63" s="9">
        <f>IF(OR(A63="",I63=""),"",EDATE(A63,I63))</f>
      </c>
    </row>
    <row r="64">
      <c r="H64" s="11">
        <f>IF(G64=0,"",ROUND(F64/G64,2))</f>
      </c>
      <c r="J64" s="9">
        <f>IF(OR(A64="",I64=""),"",EDATE(A64,I64))</f>
      </c>
    </row>
    <row r="65">
      <c r="H65" s="11">
        <f>IF(G65=0,"",ROUND(F65/G65,2))</f>
      </c>
      <c r="J65" s="9">
        <f>IF(OR(A65="",I65=""),"",EDATE(A65,I65))</f>
      </c>
    </row>
    <row r="66">
      <c r="H66" s="11">
        <f>IF(G66=0,"",ROUND(F66/G66,2))</f>
      </c>
      <c r="J66" s="9">
        <f>IF(OR(A66="",I66=""),"",EDATE(A66,I66))</f>
      </c>
    </row>
    <row r="67">
      <c r="H67" s="11">
        <f>IF(G67=0,"",ROUND(F67/G67,2))</f>
      </c>
      <c r="J67" s="9">
        <f>IF(OR(A67="",I67=""),"",EDATE(A67,I67))</f>
      </c>
    </row>
    <row r="68">
      <c r="H68" s="11">
        <f>IF(G68=0,"",ROUND(F68/G68,2))</f>
      </c>
      <c r="J68" s="9">
        <f>IF(OR(A68="",I68=""),"",EDATE(A68,I68))</f>
      </c>
    </row>
    <row r="69">
      <c r="H69" s="11">
        <f>IF(G69=0,"",ROUND(F69/G69,2))</f>
      </c>
      <c r="J69" s="9">
        <f>IF(OR(A69="",I69=""),"",EDATE(A69,I69))</f>
      </c>
    </row>
    <row r="70">
      <c r="H70" s="11">
        <f>IF(G70=0,"",ROUND(F70/G70,2))</f>
      </c>
      <c r="J70" s="9">
        <f>IF(OR(A70="",I70=""),"",EDATE(A70,I70))</f>
      </c>
    </row>
    <row r="71">
      <c r="H71" s="11">
        <f>IF(G71=0,"",ROUND(F71/G71,2))</f>
      </c>
      <c r="J71" s="9">
        <f>IF(OR(A71="",I71=""),"",EDATE(A71,I71))</f>
      </c>
    </row>
    <row r="72">
      <c r="H72" s="11">
        <f>IF(G72=0,"",ROUND(F72/G72,2))</f>
      </c>
      <c r="J72" s="9">
        <f>IF(OR(A72="",I72=""),"",EDATE(A72,I72))</f>
      </c>
    </row>
    <row r="73">
      <c r="H73" s="11">
        <f>IF(G73=0,"",ROUND(F73/G73,2))</f>
      </c>
      <c r="J73" s="9">
        <f>IF(OR(A73="",I73=""),"",EDATE(A73,I73))</f>
      </c>
    </row>
    <row r="74">
      <c r="H74" s="11">
        <f>IF(G74=0,"",ROUND(F74/G74,2))</f>
      </c>
      <c r="J74" s="9">
        <f>IF(OR(A74="",I74=""),"",EDATE(A74,I74))</f>
      </c>
    </row>
    <row r="75">
      <c r="H75" s="11">
        <f>IF(G75=0,"",ROUND(F75/G75,2))</f>
      </c>
      <c r="J75" s="9">
        <f>IF(OR(A75="",I75=""),"",EDATE(A75,I75))</f>
      </c>
    </row>
    <row r="76">
      <c r="H76" s="11">
        <f>IF(G76=0,"",ROUND(F76/G76,2))</f>
      </c>
      <c r="J76" s="9">
        <f>IF(OR(A76="",I76=""),"",EDATE(A76,I76))</f>
      </c>
    </row>
    <row r="77">
      <c r="H77" s="11">
        <f>IF(G77=0,"",ROUND(F77/G77,2))</f>
      </c>
      <c r="J77" s="9">
        <f>IF(OR(A77="",I77=""),"",EDATE(A77,I77))</f>
      </c>
    </row>
    <row r="78">
      <c r="H78" s="11">
        <f>IF(G78=0,"",ROUND(F78/G78,2))</f>
      </c>
      <c r="J78" s="9">
        <f>IF(OR(A78="",I78=""),"",EDATE(A78,I78))</f>
      </c>
    </row>
    <row r="79">
      <c r="H79" s="11">
        <f>IF(G79=0,"",ROUND(F79/G79,2))</f>
      </c>
      <c r="J79" s="9">
        <f>IF(OR(A79="",I79=""),"",EDATE(A79,I79))</f>
      </c>
    </row>
    <row r="80">
      <c r="H80" s="11">
        <f>IF(G80=0,"",ROUND(F80/G80,2))</f>
      </c>
      <c r="J80" s="9">
        <f>IF(OR(A80="",I80=""),"",EDATE(A80,I80))</f>
      </c>
    </row>
    <row r="81">
      <c r="H81" s="11">
        <f>IF(G81=0,"",ROUND(F81/G81,2))</f>
      </c>
      <c r="J81" s="9">
        <f>IF(OR(A81="",I81=""),"",EDATE(A81,I81))</f>
      </c>
    </row>
    <row r="82">
      <c r="H82" s="11">
        <f>IF(G82=0,"",ROUND(F82/G82,2))</f>
      </c>
      <c r="J82" s="9">
        <f>IF(OR(A82="",I82=""),"",EDATE(A82,I82))</f>
      </c>
    </row>
    <row r="83">
      <c r="H83" s="11">
        <f>IF(G83=0,"",ROUND(F83/G83,2))</f>
      </c>
      <c r="J83" s="9">
        <f>IF(OR(A83="",I83=""),"",EDATE(A83,I83))</f>
      </c>
    </row>
    <row r="84">
      <c r="H84" s="11">
        <f>IF(G84=0,"",ROUND(F84/G84,2))</f>
      </c>
      <c r="J84" s="9">
        <f>IF(OR(A84="",I84=""),"",EDATE(A84,I84))</f>
      </c>
    </row>
    <row r="85">
      <c r="H85" s="11">
        <f>IF(G85=0,"",ROUND(F85/G85,2))</f>
      </c>
      <c r="J85" s="9">
        <f>IF(OR(A85="",I85=""),"",EDATE(A85,I85))</f>
      </c>
    </row>
    <row r="86">
      <c r="H86" s="11">
        <f>IF(G86=0,"",ROUND(F86/G86,2))</f>
      </c>
      <c r="J86" s="9">
        <f>IF(OR(A86="",I86=""),"",EDATE(A86,I86))</f>
      </c>
    </row>
    <row r="87">
      <c r="H87" s="11">
        <f>IF(G87=0,"",ROUND(F87/G87,2))</f>
      </c>
      <c r="J87" s="9">
        <f>IF(OR(A87="",I87=""),"",EDATE(A87,I87))</f>
      </c>
    </row>
    <row r="88">
      <c r="H88" s="11">
        <f>IF(G88=0,"",ROUND(F88/G88,2))</f>
      </c>
      <c r="J88" s="9">
        <f>IF(OR(A88="",I88=""),"",EDATE(A88,I88))</f>
      </c>
    </row>
    <row r="89">
      <c r="H89" s="11">
        <f>IF(G89=0,"",ROUND(F89/G89,2))</f>
      </c>
      <c r="J89" s="9">
        <f>IF(OR(A89="",I89=""),"",EDATE(A89,I89))</f>
      </c>
    </row>
    <row r="90">
      <c r="H90" s="11">
        <f>IF(G90=0,"",ROUND(F90/G90,2))</f>
      </c>
      <c r="J90" s="9">
        <f>IF(OR(A90="",I90=""),"",EDATE(A90,I90))</f>
      </c>
    </row>
    <row r="91">
      <c r="H91" s="11">
        <f>IF(G91=0,"",ROUND(F91/G91,2))</f>
      </c>
      <c r="J91" s="9">
        <f>IF(OR(A91="",I91=""),"",EDATE(A91,I91))</f>
      </c>
    </row>
    <row r="92">
      <c r="H92" s="11">
        <f>IF(G92=0,"",ROUND(F92/G92,2))</f>
      </c>
      <c r="J92" s="9">
        <f>IF(OR(A92="",I92=""),"",EDATE(A92,I92))</f>
      </c>
    </row>
    <row r="93">
      <c r="H93" s="11">
        <f>IF(G93=0,"",ROUND(F93/G93,2))</f>
      </c>
      <c r="J93" s="9">
        <f>IF(OR(A93="",I93=""),"",EDATE(A93,I93))</f>
      </c>
    </row>
    <row r="94">
      <c r="H94" s="11">
        <f>IF(G94=0,"",ROUND(F94/G94,2))</f>
      </c>
      <c r="J94" s="9">
        <f>IF(OR(A94="",I94=""),"",EDATE(A94,I94))</f>
      </c>
    </row>
    <row r="95">
      <c r="H95" s="11">
        <f>IF(G95=0,"",ROUND(F95/G95,2))</f>
      </c>
      <c r="J95" s="9">
        <f>IF(OR(A95="",I95=""),"",EDATE(A95,I95))</f>
      </c>
    </row>
    <row r="96">
      <c r="H96" s="11">
        <f>IF(G96=0,"",ROUND(F96/G96,2))</f>
      </c>
      <c r="J96" s="9">
        <f>IF(OR(A96="",I96=""),"",EDATE(A96,I96))</f>
      </c>
    </row>
    <row r="97">
      <c r="H97" s="11">
        <f>IF(G97=0,"",ROUND(F97/G97,2))</f>
      </c>
      <c r="J97" s="9">
        <f>IF(OR(A97="",I97=""),"",EDATE(A97,I97))</f>
      </c>
    </row>
    <row r="98">
      <c r="H98" s="11">
        <f>IF(G98=0,"",ROUND(F98/G98,2))</f>
      </c>
      <c r="J98" s="9">
        <f>IF(OR(A98="",I98=""),"",EDATE(A98,I98))</f>
      </c>
    </row>
    <row r="99">
      <c r="H99" s="11">
        <f>IF(G99=0,"",ROUND(F99/G99,2))</f>
      </c>
      <c r="J99" s="9">
        <f>IF(OR(A99="",I99=""),"",EDATE(A99,I99))</f>
      </c>
    </row>
    <row r="100">
      <c r="H100" s="11">
        <f>IF(G100=0,"",ROUND(F100/G100,2))</f>
      </c>
      <c r="J100" s="9">
        <f>IF(OR(A100="",I100=""),"",EDATE(A100,I100))</f>
      </c>
    </row>
    <row r="101">
      <c r="H101" s="11">
        <f>IF(G101=0,"",ROUND(F101/G101,2))</f>
      </c>
      <c r="J101" s="9">
        <f>IF(OR(A101="",I101=""),"",EDATE(A101,I101))</f>
      </c>
    </row>
    <row r="102">
      <c r="H102" s="11">
        <f>IF(G102=0,"",ROUND(F102/G102,2))</f>
      </c>
      <c r="J102" s="9">
        <f>IF(OR(A102="",I102=""),"",EDATE(A102,I102))</f>
      </c>
    </row>
    <row r="103">
      <c r="H103" s="11">
        <f>IF(G103=0,"",ROUND(F103/G103,2))</f>
      </c>
      <c r="J103" s="9">
        <f>IF(OR(A103="",I103=""),"",EDATE(A103,I103))</f>
      </c>
    </row>
    <row r="104">
      <c r="H104" s="11">
        <f>IF(G104=0,"",ROUND(F104/G104,2))</f>
      </c>
      <c r="J104" s="9">
        <f>IF(OR(A104="",I104=""),"",EDATE(A104,I104))</f>
      </c>
    </row>
    <row r="105">
      <c r="H105" s="11">
        <f>IF(G105=0,"",ROUND(F105/G105,2))</f>
      </c>
      <c r="J105" s="9">
        <f>IF(OR(A105="",I105=""),"",EDATE(A105,I105))</f>
      </c>
    </row>
    <row r="106">
      <c r="H106" s="11">
        <f>IF(G106=0,"",ROUND(F106/G106,2))</f>
      </c>
      <c r="J106" s="9">
        <f>IF(OR(A106="",I106=""),"",EDATE(A106,I106))</f>
      </c>
    </row>
    <row r="107">
      <c r="H107" s="11">
        <f>IF(G107=0,"",ROUND(F107/G107,2))</f>
      </c>
      <c r="J107" s="9">
        <f>IF(OR(A107="",I107=""),"",EDATE(A107,I107))</f>
      </c>
    </row>
    <row r="108">
      <c r="H108" s="11">
        <f>IF(G108=0,"",ROUND(F108/G108,2))</f>
      </c>
      <c r="J108" s="9">
        <f>IF(OR(A108="",I108=""),"",EDATE(A108,I108))</f>
      </c>
    </row>
    <row r="109">
      <c r="H109" s="11">
        <f>IF(G109=0,"",ROUND(F109/G109,2))</f>
      </c>
      <c r="J109" s="9">
        <f>IF(OR(A109="",I109=""),"",EDATE(A109,I109))</f>
      </c>
    </row>
    <row r="110">
      <c r="H110" s="11">
        <f>IF(G110=0,"",ROUND(F110/G110,2))</f>
      </c>
      <c r="J110" s="9">
        <f>IF(OR(A110="",I110=""),"",EDATE(A110,I110))</f>
      </c>
    </row>
    <row r="111">
      <c r="H111" s="11">
        <f>IF(G111=0,"",ROUND(F111/G111,2))</f>
      </c>
      <c r="J111" s="9">
        <f>IF(OR(A111="",I111=""),"",EDATE(A111,I111))</f>
      </c>
    </row>
    <row r="112">
      <c r="H112" s="11">
        <f>IF(G112=0,"",ROUND(F112/G112,2))</f>
      </c>
      <c r="J112" s="9">
        <f>IF(OR(A112="",I112=""),"",EDATE(A112,I112))</f>
      </c>
    </row>
    <row r="113">
      <c r="H113" s="11">
        <f>IF(G113=0,"",ROUND(F113/G113,2))</f>
      </c>
      <c r="J113" s="9">
        <f>IF(OR(A113="",I113=""),"",EDATE(A113,I113))</f>
      </c>
    </row>
    <row r="114">
      <c r="H114" s="11">
        <f>IF(G114=0,"",ROUND(F114/G114,2))</f>
      </c>
      <c r="J114" s="9">
        <f>IF(OR(A114="",I114=""),"",EDATE(A114,I114))</f>
      </c>
    </row>
    <row r="115">
      <c r="H115" s="11">
        <f>IF(G115=0,"",ROUND(F115/G115,2))</f>
      </c>
      <c r="J115" s="9">
        <f>IF(OR(A115="",I115=""),"",EDATE(A115,I115))</f>
      </c>
    </row>
    <row r="116">
      <c r="H116" s="11">
        <f>IF(G116=0,"",ROUND(F116/G116,2))</f>
      </c>
      <c r="J116" s="9">
        <f>IF(OR(A116="",I116=""),"",EDATE(A116,I116))</f>
      </c>
    </row>
    <row r="117">
      <c r="H117" s="11">
        <f>IF(G117=0,"",ROUND(F117/G117,2))</f>
      </c>
      <c r="J117" s="9">
        <f>IF(OR(A117="",I117=""),"",EDATE(A117,I117))</f>
      </c>
    </row>
    <row r="118">
      <c r="H118" s="11">
        <f>IF(G118=0,"",ROUND(F118/G118,2))</f>
      </c>
      <c r="J118" s="9">
        <f>IF(OR(A118="",I118=""),"",EDATE(A118,I118))</f>
      </c>
    </row>
    <row r="119">
      <c r="H119" s="11">
        <f>IF(G119=0,"",ROUND(F119/G119,2))</f>
      </c>
      <c r="J119" s="9">
        <f>IF(OR(A119="",I119=""),"",EDATE(A119,I119))</f>
      </c>
    </row>
    <row r="120">
      <c r="H120" s="11">
        <f>IF(G120=0,"",ROUND(F120/G120,2))</f>
      </c>
      <c r="J120" s="9">
        <f>IF(OR(A120="",I120=""),"",EDATE(A120,I120))</f>
      </c>
    </row>
    <row r="121">
      <c r="H121" s="11">
        <f>IF(G121=0,"",ROUND(F121/G121,2))</f>
      </c>
      <c r="J121" s="9">
        <f>IF(OR(A121="",I121=""),"",EDATE(A121,I121))</f>
      </c>
    </row>
    <row r="122">
      <c r="H122" s="11">
        <f>IF(G122=0,"",ROUND(F122/G122,2))</f>
      </c>
      <c r="J122" s="9">
        <f>IF(OR(A122="",I122=""),"",EDATE(A122,I122))</f>
      </c>
    </row>
    <row r="123">
      <c r="H123" s="11">
        <f>IF(G123=0,"",ROUND(F123/G123,2))</f>
      </c>
      <c r="J123" s="9">
        <f>IF(OR(A123="",I123=""),"",EDATE(A123,I123))</f>
      </c>
    </row>
    <row r="124">
      <c r="H124" s="11">
        <f>IF(G124=0,"",ROUND(F124/G124,2))</f>
      </c>
      <c r="J124" s="9">
        <f>IF(OR(A124="",I124=""),"",EDATE(A124,I124))</f>
      </c>
    </row>
    <row r="125">
      <c r="H125" s="11">
        <f>IF(G125=0,"",ROUND(F125/G125,2))</f>
      </c>
      <c r="J125" s="9">
        <f>IF(OR(A125="",I125=""),"",EDATE(A125,I125))</f>
      </c>
    </row>
    <row r="126">
      <c r="H126" s="11">
        <f>IF(G126=0,"",ROUND(F126/G126,2))</f>
      </c>
      <c r="J126" s="9">
        <f>IF(OR(A126="",I126=""),"",EDATE(A126,I126))</f>
      </c>
    </row>
    <row r="127">
      <c r="H127" s="11">
        <f>IF(G127=0,"",ROUND(F127/G127,2))</f>
      </c>
      <c r="J127" s="9">
        <f>IF(OR(A127="",I127=""),"",EDATE(A127,I127))</f>
      </c>
    </row>
    <row r="128">
      <c r="H128" s="11">
        <f>IF(G128=0,"",ROUND(F128/G128,2))</f>
      </c>
      <c r="J128" s="9">
        <f>IF(OR(A128="",I128=""),"",EDATE(A128,I128))</f>
      </c>
    </row>
    <row r="129">
      <c r="H129" s="11">
        <f>IF(G129=0,"",ROUND(F129/G129,2))</f>
      </c>
      <c r="J129" s="9">
        <f>IF(OR(A129="",I129=""),"",EDATE(A129,I129))</f>
      </c>
    </row>
    <row r="130">
      <c r="H130" s="11">
        <f>IF(G130=0,"",ROUND(F130/G130,2))</f>
      </c>
      <c r="J130" s="9">
        <f>IF(OR(A130="",I130=""),"",EDATE(A130,I130))</f>
      </c>
    </row>
    <row r="131">
      <c r="H131" s="11">
        <f>IF(G131=0,"",ROUND(F131/G131,2))</f>
      </c>
      <c r="J131" s="9">
        <f>IF(OR(A131="",I131=""),"",EDATE(A131,I131))</f>
      </c>
    </row>
    <row r="132">
      <c r="H132" s="11">
        <f>IF(G132=0,"",ROUND(F132/G132,2))</f>
      </c>
      <c r="J132" s="9">
        <f>IF(OR(A132="",I132=""),"",EDATE(A132,I132))</f>
      </c>
    </row>
    <row r="133">
      <c r="H133" s="11">
        <f>IF(G133=0,"",ROUND(F133/G133,2))</f>
      </c>
      <c r="J133" s="9">
        <f>IF(OR(A133="",I133=""),"",EDATE(A133,I133))</f>
      </c>
    </row>
    <row r="134">
      <c r="H134" s="11">
        <f>IF(G134=0,"",ROUND(F134/G134,2))</f>
      </c>
      <c r="J134" s="9">
        <f>IF(OR(A134="",I134=""),"",EDATE(A134,I134))</f>
      </c>
    </row>
    <row r="135">
      <c r="H135" s="11">
        <f>IF(G135=0,"",ROUND(F135/G135,2))</f>
      </c>
      <c r="J135" s="9">
        <f>IF(OR(A135="",I135=""),"",EDATE(A135,I135))</f>
      </c>
    </row>
    <row r="136">
      <c r="H136" s="11">
        <f>IF(G136=0,"",ROUND(F136/G136,2))</f>
      </c>
      <c r="J136" s="9">
        <f>IF(OR(A136="",I136=""),"",EDATE(A136,I136))</f>
      </c>
    </row>
    <row r="137">
      <c r="H137" s="11">
        <f>IF(G137=0,"",ROUND(F137/G137,2))</f>
      </c>
      <c r="J137" s="9">
        <f>IF(OR(A137="",I137=""),"",EDATE(A137,I137))</f>
      </c>
    </row>
    <row r="138">
      <c r="H138" s="11">
        <f>IF(G138=0,"",ROUND(F138/G138,2))</f>
      </c>
      <c r="J138" s="9">
        <f>IF(OR(A138="",I138=""),"",EDATE(A138,I138))</f>
      </c>
    </row>
    <row r="139">
      <c r="H139" s="11">
        <f>IF(G139=0,"",ROUND(F139/G139,2))</f>
      </c>
      <c r="J139" s="9">
        <f>IF(OR(A139="",I139=""),"",EDATE(A139,I139))</f>
      </c>
    </row>
    <row r="140">
      <c r="H140" s="11">
        <f>IF(G140=0,"",ROUND(F140/G140,2))</f>
      </c>
      <c r="J140" s="9">
        <f>IF(OR(A140="",I140=""),"",EDATE(A140,I140))</f>
      </c>
    </row>
    <row r="141">
      <c r="H141" s="11">
        <f>IF(G141=0,"",ROUND(F141/G141,2))</f>
      </c>
      <c r="J141" s="9">
        <f>IF(OR(A141="",I141=""),"",EDATE(A141,I141))</f>
      </c>
    </row>
    <row r="142">
      <c r="H142" s="11">
        <f>IF(G142=0,"",ROUND(F142/G142,2))</f>
      </c>
      <c r="J142" s="9">
        <f>IF(OR(A142="",I142=""),"",EDATE(A142,I142))</f>
      </c>
    </row>
    <row r="143">
      <c r="H143" s="11">
        <f>IF(G143=0,"",ROUND(F143/G143,2))</f>
      </c>
      <c r="J143" s="9">
        <f>IF(OR(A143="",I143=""),"",EDATE(A143,I143))</f>
      </c>
    </row>
    <row r="144">
      <c r="H144" s="11">
        <f>IF(G144=0,"",ROUND(F144/G144,2))</f>
      </c>
      <c r="J144" s="9">
        <f>IF(OR(A144="",I144=""),"",EDATE(A144,I144))</f>
      </c>
    </row>
    <row r="145">
      <c r="H145" s="11">
        <f>IF(G145=0,"",ROUND(F145/G145,2))</f>
      </c>
      <c r="J145" s="9">
        <f>IF(OR(A145="",I145=""),"",EDATE(A145,I145))</f>
      </c>
    </row>
    <row r="146">
      <c r="H146" s="11">
        <f>IF(G146=0,"",ROUND(F146/G146,2))</f>
      </c>
      <c r="J146" s="9">
        <f>IF(OR(A146="",I146=""),"",EDATE(A146,I146))</f>
      </c>
    </row>
    <row r="147">
      <c r="H147" s="11">
        <f>IF(G147=0,"",ROUND(F147/G147,2))</f>
      </c>
      <c r="J147" s="9">
        <f>IF(OR(A147="",I147=""),"",EDATE(A147,I147))</f>
      </c>
    </row>
    <row r="148">
      <c r="H148" s="11">
        <f>IF(G148=0,"",ROUND(F148/G148,2))</f>
      </c>
      <c r="J148" s="9">
        <f>IF(OR(A148="",I148=""),"",EDATE(A148,I148))</f>
      </c>
    </row>
    <row r="149">
      <c r="H149" s="11">
        <f>IF(G149=0,"",ROUND(F149/G149,2))</f>
      </c>
      <c r="J149" s="9">
        <f>IF(OR(A149="",I149=""),"",EDATE(A149,I149))</f>
      </c>
    </row>
    <row r="150">
      <c r="H150" s="11">
        <f>IF(G150=0,"",ROUND(F150/G150,2))</f>
      </c>
      <c r="J150" s="9">
        <f>IF(OR(A150="",I150=""),"",EDATE(A150,I150))</f>
      </c>
    </row>
    <row r="151">
      <c r="H151" s="11">
        <f>IF(G151=0,"",ROUND(F151/G151,2))</f>
      </c>
      <c r="J151" s="9">
        <f>IF(OR(A151="",I151=""),"",EDATE(A151,I151))</f>
      </c>
    </row>
    <row r="152">
      <c r="H152" s="11">
        <f>IF(G152=0,"",ROUND(F152/G152,2))</f>
      </c>
      <c r="J152" s="9">
        <f>IF(OR(A152="",I152=""),"",EDATE(A152,I152))</f>
      </c>
    </row>
    <row r="153">
      <c r="H153" s="11">
        <f>IF(G153=0,"",ROUND(F153/G153,2))</f>
      </c>
      <c r="J153" s="9">
        <f>IF(OR(A153="",I153=""),"",EDATE(A153,I153))</f>
      </c>
    </row>
    <row r="154">
      <c r="H154" s="11">
        <f>IF(G154=0,"",ROUND(F154/G154,2))</f>
      </c>
      <c r="J154" s="9">
        <f>IF(OR(A154="",I154=""),"",EDATE(A154,I154))</f>
      </c>
    </row>
    <row r="155">
      <c r="H155" s="11">
        <f>IF(G155=0,"",ROUND(F155/G155,2))</f>
      </c>
      <c r="J155" s="9">
        <f>IF(OR(A155="",I155=""),"",EDATE(A155,I155))</f>
      </c>
    </row>
    <row r="156">
      <c r="H156" s="11">
        <f>IF(G156=0,"",ROUND(F156/G156,2))</f>
      </c>
      <c r="J156" s="9">
        <f>IF(OR(A156="",I156=""),"",EDATE(A156,I156))</f>
      </c>
    </row>
    <row r="157">
      <c r="H157" s="11">
        <f>IF(G157=0,"",ROUND(F157/G157,2))</f>
      </c>
      <c r="J157" s="9">
        <f>IF(OR(A157="",I157=""),"",EDATE(A157,I157))</f>
      </c>
    </row>
    <row r="158">
      <c r="H158" s="11">
        <f>IF(G158=0,"",ROUND(F158/G158,2))</f>
      </c>
      <c r="J158" s="9">
        <f>IF(OR(A158="",I158=""),"",EDATE(A158,I158))</f>
      </c>
    </row>
    <row r="159">
      <c r="H159" s="11">
        <f>IF(G159=0,"",ROUND(F159/G159,2))</f>
      </c>
      <c r="J159" s="9">
        <f>IF(OR(A159="",I159=""),"",EDATE(A159,I159))</f>
      </c>
    </row>
    <row r="160">
      <c r="H160" s="11">
        <f>IF(G160=0,"",ROUND(F160/G160,2))</f>
      </c>
      <c r="J160" s="9">
        <f>IF(OR(A160="",I160=""),"",EDATE(A160,I160))</f>
      </c>
    </row>
    <row r="161">
      <c r="H161" s="11">
        <f>IF(G161=0,"",ROUND(F161/G161,2))</f>
      </c>
      <c r="J161" s="9">
        <f>IF(OR(A161="",I161=""),"",EDATE(A161,I161))</f>
      </c>
    </row>
    <row r="162">
      <c r="H162" s="11">
        <f>IF(G162=0,"",ROUND(F162/G162,2))</f>
      </c>
      <c r="J162" s="9">
        <f>IF(OR(A162="",I162=""),"",EDATE(A162,I162))</f>
      </c>
    </row>
    <row r="163">
      <c r="H163" s="11">
        <f>IF(G163=0,"",ROUND(F163/G163,2))</f>
      </c>
      <c r="J163" s="9">
        <f>IF(OR(A163="",I163=""),"",EDATE(A163,I163))</f>
      </c>
    </row>
    <row r="164">
      <c r="H164" s="11">
        <f>IF(G164=0,"",ROUND(F164/G164,2))</f>
      </c>
      <c r="J164" s="9">
        <f>IF(OR(A164="",I164=""),"",EDATE(A164,I164))</f>
      </c>
    </row>
    <row r="165">
      <c r="H165" s="11">
        <f>IF(G165=0,"",ROUND(F165/G165,2))</f>
      </c>
      <c r="J165" s="9">
        <f>IF(OR(A165="",I165=""),"",EDATE(A165,I165))</f>
      </c>
    </row>
    <row r="166">
      <c r="H166" s="11">
        <f>IF(G166=0,"",ROUND(F166/G166,2))</f>
      </c>
      <c r="J166" s="9">
        <f>IF(OR(A166="",I166=""),"",EDATE(A166,I166))</f>
      </c>
    </row>
    <row r="167">
      <c r="H167" s="11">
        <f>IF(G167=0,"",ROUND(F167/G167,2))</f>
      </c>
      <c r="J167" s="9">
        <f>IF(OR(A167="",I167=""),"",EDATE(A167,I167))</f>
      </c>
    </row>
    <row r="168">
      <c r="H168" s="11">
        <f>IF(G168=0,"",ROUND(F168/G168,2))</f>
      </c>
      <c r="J168" s="9">
        <f>IF(OR(A168="",I168=""),"",EDATE(A168,I168))</f>
      </c>
    </row>
    <row r="169">
      <c r="H169" s="11">
        <f>IF(G169=0,"",ROUND(F169/G169,2))</f>
      </c>
      <c r="J169" s="9">
        <f>IF(OR(A169="",I169=""),"",EDATE(A169,I169))</f>
      </c>
    </row>
    <row r="170">
      <c r="H170" s="11">
        <f>IF(G170=0,"",ROUND(F170/G170,2))</f>
      </c>
      <c r="J170" s="9">
        <f>IF(OR(A170="",I170=""),"",EDATE(A170,I170))</f>
      </c>
    </row>
    <row r="171">
      <c r="H171" s="11">
        <f>IF(G171=0,"",ROUND(F171/G171,2))</f>
      </c>
      <c r="J171" s="9">
        <f>IF(OR(A171="",I171=""),"",EDATE(A171,I171))</f>
      </c>
    </row>
    <row r="172">
      <c r="H172" s="11">
        <f>IF(G172=0,"",ROUND(F172/G172,2))</f>
      </c>
      <c r="J172" s="9">
        <f>IF(OR(A172="",I172=""),"",EDATE(A172,I172))</f>
      </c>
    </row>
    <row r="173">
      <c r="H173" s="11">
        <f>IF(G173=0,"",ROUND(F173/G173,2))</f>
      </c>
      <c r="J173" s="9">
        <f>IF(OR(A173="",I173=""),"",EDATE(A173,I173))</f>
      </c>
    </row>
    <row r="174">
      <c r="H174" s="11">
        <f>IF(G174=0,"",ROUND(F174/G174,2))</f>
      </c>
      <c r="J174" s="9">
        <f>IF(OR(A174="",I174=""),"",EDATE(A174,I174))</f>
      </c>
    </row>
    <row r="175">
      <c r="H175" s="11">
        <f>IF(G175=0,"",ROUND(F175/G175,2))</f>
      </c>
      <c r="J175" s="9">
        <f>IF(OR(A175="",I175=""),"",EDATE(A175,I175))</f>
      </c>
    </row>
    <row r="176">
      <c r="H176" s="11">
        <f>IF(G176=0,"",ROUND(F176/G176,2))</f>
      </c>
      <c r="J176" s="9">
        <f>IF(OR(A176="",I176=""),"",EDATE(A176,I176))</f>
      </c>
    </row>
    <row r="177">
      <c r="H177" s="11">
        <f>IF(G177=0,"",ROUND(F177/G177,2))</f>
      </c>
      <c r="J177" s="9">
        <f>IF(OR(A177="",I177=""),"",EDATE(A177,I177))</f>
      </c>
    </row>
    <row r="178">
      <c r="H178" s="11">
        <f>IF(G178=0,"",ROUND(F178/G178,2))</f>
      </c>
      <c r="J178" s="9">
        <f>IF(OR(A178="",I178=""),"",EDATE(A178,I178))</f>
      </c>
    </row>
    <row r="179">
      <c r="H179" s="11">
        <f>IF(G179=0,"",ROUND(F179/G179,2))</f>
      </c>
      <c r="J179" s="9">
        <f>IF(OR(A179="",I179=""),"",EDATE(A179,I179))</f>
      </c>
    </row>
    <row r="180">
      <c r="H180" s="11">
        <f>IF(G180=0,"",ROUND(F180/G180,2))</f>
      </c>
      <c r="J180" s="9">
        <f>IF(OR(A180="",I180=""),"",EDATE(A180,I180))</f>
      </c>
    </row>
    <row r="181">
      <c r="H181" s="11">
        <f>IF(G181=0,"",ROUND(F181/G181,2))</f>
      </c>
      <c r="J181" s="9">
        <f>IF(OR(A181="",I181=""),"",EDATE(A181,I181))</f>
      </c>
    </row>
    <row r="182">
      <c r="H182" s="11">
        <f>IF(G182=0,"",ROUND(F182/G182,2))</f>
      </c>
      <c r="J182" s="9">
        <f>IF(OR(A182="",I182=""),"",EDATE(A182,I182))</f>
      </c>
    </row>
    <row r="183">
      <c r="H183" s="11">
        <f>IF(G183=0,"",ROUND(F183/G183,2))</f>
      </c>
      <c r="J183" s="9">
        <f>IF(OR(A183="",I183=""),"",EDATE(A183,I183))</f>
      </c>
    </row>
    <row r="184">
      <c r="H184" s="11">
        <f>IF(G184=0,"",ROUND(F184/G184,2))</f>
      </c>
      <c r="J184" s="9">
        <f>IF(OR(A184="",I184=""),"",EDATE(A184,I184))</f>
      </c>
    </row>
    <row r="185">
      <c r="H185" s="11">
        <f>IF(G185=0,"",ROUND(F185/G185,2))</f>
      </c>
      <c r="J185" s="9">
        <f>IF(OR(A185="",I185=""),"",EDATE(A185,I185))</f>
      </c>
    </row>
    <row r="186">
      <c r="H186" s="11">
        <f>IF(G186=0,"",ROUND(F186/G186,2))</f>
      </c>
      <c r="J186" s="9">
        <f>IF(OR(A186="",I186=""),"",EDATE(A186,I186))</f>
      </c>
    </row>
    <row r="187">
      <c r="H187" s="11">
        <f>IF(G187=0,"",ROUND(F187/G187,2))</f>
      </c>
      <c r="J187" s="9">
        <f>IF(OR(A187="",I187=""),"",EDATE(A187,I187))</f>
      </c>
    </row>
    <row r="188">
      <c r="H188" s="11">
        <f>IF(G188=0,"",ROUND(F188/G188,2))</f>
      </c>
      <c r="J188" s="9">
        <f>IF(OR(A188="",I188=""),"",EDATE(A188,I188))</f>
      </c>
    </row>
    <row r="189">
      <c r="H189" s="11">
        <f>IF(G189=0,"",ROUND(F189/G189,2))</f>
      </c>
      <c r="J189" s="9">
        <f>IF(OR(A189="",I189=""),"",EDATE(A189,I189))</f>
      </c>
    </row>
    <row r="190">
      <c r="H190" s="11">
        <f>IF(G190=0,"",ROUND(F190/G190,2))</f>
      </c>
      <c r="J190" s="9">
        <f>IF(OR(A190="",I190=""),"",EDATE(A190,I190))</f>
      </c>
    </row>
    <row r="191">
      <c r="H191" s="11">
        <f>IF(G191=0,"",ROUND(F191/G191,2))</f>
      </c>
      <c r="J191" s="9">
        <f>IF(OR(A191="",I191=""),"",EDATE(A191,I191))</f>
      </c>
    </row>
    <row r="192">
      <c r="H192" s="11">
        <f>IF(G192=0,"",ROUND(F192/G192,2))</f>
      </c>
      <c r="J192" s="9">
        <f>IF(OR(A192="",I192=""),"",EDATE(A192,I192))</f>
      </c>
    </row>
    <row r="193">
      <c r="H193" s="11">
        <f>IF(G193=0,"",ROUND(F193/G193,2))</f>
      </c>
      <c r="J193" s="9">
        <f>IF(OR(A193="",I193=""),"",EDATE(A193,I193))</f>
      </c>
    </row>
    <row r="194">
      <c r="H194" s="11">
        <f>IF(G194=0,"",ROUND(F194/G194,2))</f>
      </c>
      <c r="J194" s="9">
        <f>IF(OR(A194="",I194=""),"",EDATE(A194,I194))</f>
      </c>
    </row>
    <row r="195">
      <c r="H195" s="11">
        <f>IF(G195=0,"",ROUND(F195/G195,2))</f>
      </c>
      <c r="J195" s="9">
        <f>IF(OR(A195="",I195=""),"",EDATE(A195,I195))</f>
      </c>
    </row>
    <row r="196">
      <c r="H196" s="11">
        <f>IF(G196=0,"",ROUND(F196/G196,2))</f>
      </c>
      <c r="J196" s="9">
        <f>IF(OR(A196="",I196=""),"",EDATE(A196,I196))</f>
      </c>
    </row>
    <row r="197">
      <c r="H197" s="11">
        <f>IF(G197=0,"",ROUND(F197/G197,2))</f>
      </c>
      <c r="J197" s="9">
        <f>IF(OR(A197="",I197=""),"",EDATE(A197,I197))</f>
      </c>
    </row>
    <row r="198">
      <c r="H198" s="11">
        <f>IF(G198=0,"",ROUND(F198/G198,2))</f>
      </c>
      <c r="J198" s="9">
        <f>IF(OR(A198="",I198=""),"",EDATE(A198,I198))</f>
      </c>
    </row>
    <row r="199">
      <c r="H199" s="11">
        <f>IF(G199=0,"",ROUND(F199/G199,2))</f>
      </c>
      <c r="J199" s="9">
        <f>IF(OR(A199="",I199=""),"",EDATE(A199,I199))</f>
      </c>
    </row>
    <row r="200">
      <c r="H200" s="11">
        <f>IF(G200=0,"",ROUND(F200/G200,2))</f>
      </c>
      <c r="J200" s="9">
        <f>IF(OR(A200="",I200=""),"",EDATE(A200,I200))</f>
      </c>
    </row>
    <row r="201">
      <c r="H201" s="11">
        <f>IF(G201=0,"",ROUND(F201/G201,2))</f>
      </c>
      <c r="J201" s="9">
        <f>IF(OR(A201="",I201=""),"",EDATE(A201,I201))</f>
      </c>
    </row>
    <row r="202">
      <c r="H202" s="11">
        <f>IF(G202=0,"",ROUND(F202/G202,2))</f>
      </c>
      <c r="J202" s="9">
        <f>IF(OR(A202="",I202=""),"",EDATE(A202,I202))</f>
      </c>
    </row>
    <row r="203">
      <c r="H203" s="11">
        <f>IF(G203=0,"",ROUND(F203/G203,2))</f>
      </c>
      <c r="J203" s="9">
        <f>IF(OR(A203="",I203=""),"",EDATE(A203,I203))</f>
      </c>
    </row>
    <row r="204">
      <c r="H204" s="11">
        <f>IF(G204=0,"",ROUND(F204/G204,2))</f>
      </c>
      <c r="J204" s="9">
        <f>IF(OR(A204="",I204=""),"",EDATE(A204,I204))</f>
      </c>
    </row>
    <row r="205">
      <c r="H205" s="11">
        <f>IF(G205=0,"",ROUND(F205/G205,2))</f>
      </c>
      <c r="J205" s="9">
        <f>IF(OR(A205="",I205=""),"",EDATE(A205,I205))</f>
      </c>
    </row>
    <row r="206">
      <c r="H206" s="11">
        <f>IF(G206=0,"",ROUND(F206/G206,2))</f>
      </c>
      <c r="J206" s="9">
        <f>IF(OR(A206="",I206=""),"",EDATE(A206,I206))</f>
      </c>
    </row>
    <row r="207">
      <c r="H207" s="11">
        <f>IF(G207=0,"",ROUND(F207/G207,2))</f>
      </c>
      <c r="J207" s="9">
        <f>IF(OR(A207="",I207=""),"",EDATE(A207,I207))</f>
      </c>
    </row>
    <row r="208">
      <c r="H208" s="11">
        <f>IF(G208=0,"",ROUND(F208/G208,2))</f>
      </c>
      <c r="J208" s="9">
        <f>IF(OR(A208="",I208=""),"",EDATE(A208,I208))</f>
      </c>
    </row>
    <row r="209">
      <c r="H209" s="11">
        <f>IF(G209=0,"",ROUND(F209/G209,2))</f>
      </c>
      <c r="J209" s="9">
        <f>IF(OR(A209="",I209=""),"",EDATE(A209,I209))</f>
      </c>
    </row>
    <row r="210">
      <c r="H210" s="11">
        <f>IF(G210=0,"",ROUND(F210/G210,2))</f>
      </c>
      <c r="J210" s="9">
        <f>IF(OR(A210="",I210=""),"",EDATE(A210,I210))</f>
      </c>
    </row>
    <row r="211">
      <c r="H211" s="11">
        <f>IF(G211=0,"",ROUND(F211/G211,2))</f>
      </c>
      <c r="J211" s="9">
        <f>IF(OR(A211="",I211=""),"",EDATE(A211,I211))</f>
      </c>
    </row>
    <row r="212">
      <c r="H212" s="11">
        <f>IF(G212=0,"",ROUND(F212/G212,2))</f>
      </c>
      <c r="J212" s="9">
        <f>IF(OR(A212="",I212=""),"",EDATE(A212,I212))</f>
      </c>
    </row>
    <row r="213">
      <c r="H213" s="11">
        <f>IF(G213=0,"",ROUND(F213/G213,2))</f>
      </c>
      <c r="J213" s="9">
        <f>IF(OR(A213="",I213=""),"",EDATE(A213,I213))</f>
      </c>
    </row>
    <row r="214">
      <c r="H214" s="11">
        <f>IF(G214=0,"",ROUND(F214/G214,2))</f>
      </c>
      <c r="J214" s="9">
        <f>IF(OR(A214="",I214=""),"",EDATE(A214,I214))</f>
      </c>
    </row>
    <row r="215">
      <c r="H215" s="11">
        <f>IF(G215=0,"",ROUND(F215/G215,2))</f>
      </c>
      <c r="J215" s="9">
        <f>IF(OR(A215="",I215=""),"",EDATE(A215,I215))</f>
      </c>
    </row>
    <row r="216">
      <c r="H216" s="11">
        <f>IF(G216=0,"",ROUND(F216/G216,2))</f>
      </c>
      <c r="J216" s="9">
        <f>IF(OR(A216="",I216=""),"",EDATE(A216,I216))</f>
      </c>
    </row>
    <row r="217">
      <c r="H217" s="11">
        <f>IF(G217=0,"",ROUND(F217/G217,2))</f>
      </c>
      <c r="J217" s="9">
        <f>IF(OR(A217="",I217=""),"",EDATE(A217,I217))</f>
      </c>
    </row>
    <row r="218">
      <c r="H218" s="11">
        <f>IF(G218=0,"",ROUND(F218/G218,2))</f>
      </c>
      <c r="J218" s="9">
        <f>IF(OR(A218="",I218=""),"",EDATE(A218,I218))</f>
      </c>
    </row>
    <row r="219">
      <c r="H219" s="11">
        <f>IF(G219=0,"",ROUND(F219/G219,2))</f>
      </c>
      <c r="J219" s="9">
        <f>IF(OR(A219="",I219=""),"",EDATE(A219,I219))</f>
      </c>
    </row>
    <row r="220">
      <c r="H220" s="11">
        <f>IF(G220=0,"",ROUND(F220/G220,2))</f>
      </c>
      <c r="J220" s="9">
        <f>IF(OR(A220="",I220=""),"",EDATE(A220,I220))</f>
      </c>
    </row>
    <row r="221">
      <c r="H221" s="11">
        <f>IF(G221=0,"",ROUND(F221/G221,2))</f>
      </c>
      <c r="J221" s="9">
        <f>IF(OR(A221="",I221=""),"",EDATE(A221,I221))</f>
      </c>
    </row>
    <row r="222">
      <c r="H222" s="11">
        <f>IF(G222=0,"",ROUND(F222/G222,2))</f>
      </c>
      <c r="J222" s="9">
        <f>IF(OR(A222="",I222=""),"",EDATE(A222,I222))</f>
      </c>
    </row>
    <row r="223">
      <c r="H223" s="11">
        <f>IF(G223=0,"",ROUND(F223/G223,2))</f>
      </c>
      <c r="J223" s="9">
        <f>IF(OR(A223="",I223=""),"",EDATE(A223,I223))</f>
      </c>
    </row>
    <row r="224">
      <c r="H224" s="11">
        <f>IF(G224=0,"",ROUND(F224/G224,2))</f>
      </c>
      <c r="J224" s="9">
        <f>IF(OR(A224="",I224=""),"",EDATE(A224,I224))</f>
      </c>
    </row>
    <row r="225">
      <c r="H225" s="11">
        <f>IF(G225=0,"",ROUND(F225/G225,2))</f>
      </c>
      <c r="J225" s="9">
        <f>IF(OR(A225="",I225=""),"",EDATE(A225,I225))</f>
      </c>
    </row>
    <row r="226">
      <c r="H226" s="11">
        <f>IF(G226=0,"",ROUND(F226/G226,2))</f>
      </c>
      <c r="J226" s="9">
        <f>IF(OR(A226="",I226=""),"",EDATE(A226,I226))</f>
      </c>
    </row>
    <row r="227">
      <c r="H227" s="11">
        <f>IF(G227=0,"",ROUND(F227/G227,2))</f>
      </c>
      <c r="J227" s="9">
        <f>IF(OR(A227="",I227=""),"",EDATE(A227,I227))</f>
      </c>
    </row>
    <row r="228">
      <c r="H228" s="11">
        <f>IF(G228=0,"",ROUND(F228/G228,2))</f>
      </c>
      <c r="J228" s="9">
        <f>IF(OR(A228="",I228=""),"",EDATE(A228,I228))</f>
      </c>
    </row>
    <row r="229">
      <c r="H229" s="11">
        <f>IF(G229=0,"",ROUND(F229/G229,2))</f>
      </c>
      <c r="J229" s="9">
        <f>IF(OR(A229="",I229=""),"",EDATE(A229,I229))</f>
      </c>
    </row>
    <row r="230">
      <c r="H230" s="11">
        <f>IF(G230=0,"",ROUND(F230/G230,2))</f>
      </c>
      <c r="J230" s="9">
        <f>IF(OR(A230="",I230=""),"",EDATE(A230,I230))</f>
      </c>
    </row>
    <row r="231">
      <c r="H231" s="11">
        <f>IF(G231=0,"",ROUND(F231/G231,2))</f>
      </c>
      <c r="J231" s="9">
        <f>IF(OR(A231="",I231=""),"",EDATE(A231,I231))</f>
      </c>
    </row>
    <row r="232">
      <c r="H232" s="11">
        <f>IF(G232=0,"",ROUND(F232/G232,2))</f>
      </c>
      <c r="J232" s="9">
        <f>IF(OR(A232="",I232=""),"",EDATE(A232,I232))</f>
      </c>
    </row>
    <row r="233">
      <c r="H233" s="11">
        <f>IF(G233=0,"",ROUND(F233/G233,2))</f>
      </c>
      <c r="J233" s="9">
        <f>IF(OR(A233="",I233=""),"",EDATE(A233,I233))</f>
      </c>
    </row>
    <row r="234">
      <c r="H234" s="11">
        <f>IF(G234=0,"",ROUND(F234/G234,2))</f>
      </c>
      <c r="J234" s="9">
        <f>IF(OR(A234="",I234=""),"",EDATE(A234,I234))</f>
      </c>
    </row>
    <row r="235">
      <c r="H235" s="11">
        <f>IF(G235=0,"",ROUND(F235/G235,2))</f>
      </c>
      <c r="J235" s="9">
        <f>IF(OR(A235="",I235=""),"",EDATE(A235,I235))</f>
      </c>
    </row>
    <row r="236">
      <c r="H236" s="11">
        <f>IF(G236=0,"",ROUND(F236/G236,2))</f>
      </c>
      <c r="J236" s="9">
        <f>IF(OR(A236="",I236=""),"",EDATE(A236,I236))</f>
      </c>
    </row>
    <row r="237">
      <c r="H237" s="11">
        <f>IF(G237=0,"",ROUND(F237/G237,2))</f>
      </c>
      <c r="J237" s="9">
        <f>IF(OR(A237="",I237=""),"",EDATE(A237,I237))</f>
      </c>
    </row>
    <row r="238">
      <c r="H238" s="11">
        <f>IF(G238=0,"",ROUND(F238/G238,2))</f>
      </c>
      <c r="J238" s="9">
        <f>IF(OR(A238="",I238=""),"",EDATE(A238,I238))</f>
      </c>
    </row>
    <row r="239">
      <c r="H239" s="11">
        <f>IF(G239=0,"",ROUND(F239/G239,2))</f>
      </c>
      <c r="J239" s="9">
        <f>IF(OR(A239="",I239=""),"",EDATE(A239,I239))</f>
      </c>
    </row>
    <row r="240">
      <c r="H240" s="11">
        <f>IF(G240=0,"",ROUND(F240/G240,2))</f>
      </c>
      <c r="J240" s="9">
        <f>IF(OR(A240="",I240=""),"",EDATE(A240,I240))</f>
      </c>
    </row>
    <row r="241">
      <c r="H241" s="11">
        <f>IF(G241=0,"",ROUND(F241/G241,2))</f>
      </c>
      <c r="J241" s="9">
        <f>IF(OR(A241="",I241=""),"",EDATE(A241,I241))</f>
      </c>
    </row>
    <row r="242">
      <c r="H242" s="11">
        <f>IF(G242=0,"",ROUND(F242/G242,2))</f>
      </c>
      <c r="J242" s="9">
        <f>IF(OR(A242="",I242=""),"",EDATE(A242,I242))</f>
      </c>
    </row>
    <row r="243">
      <c r="H243" s="11">
        <f>IF(G243=0,"",ROUND(F243/G243,2))</f>
      </c>
      <c r="J243" s="9">
        <f>IF(OR(A243="",I243=""),"",EDATE(A243,I243))</f>
      </c>
    </row>
    <row r="244">
      <c r="H244" s="11">
        <f>IF(G244=0,"",ROUND(F244/G244,2))</f>
      </c>
      <c r="J244" s="9">
        <f>IF(OR(A244="",I244=""),"",EDATE(A244,I244))</f>
      </c>
    </row>
    <row r="245">
      <c r="H245" s="11">
        <f>IF(G245=0,"",ROUND(F245/G245,2))</f>
      </c>
      <c r="J245" s="9">
        <f>IF(OR(A245="",I245=""),"",EDATE(A245,I245))</f>
      </c>
    </row>
    <row r="246">
      <c r="H246" s="11">
        <f>IF(G246=0,"",ROUND(F246/G246,2))</f>
      </c>
      <c r="J246" s="9">
        <f>IF(OR(A246="",I246=""),"",EDATE(A246,I246))</f>
      </c>
    </row>
    <row r="247">
      <c r="H247" s="11">
        <f>IF(G247=0,"",ROUND(F247/G247,2))</f>
      </c>
      <c r="J247" s="9">
        <f>IF(OR(A247="",I247=""),"",EDATE(A247,I247))</f>
      </c>
    </row>
    <row r="248">
      <c r="H248" s="11">
        <f>IF(G248=0,"",ROUND(F248/G248,2))</f>
      </c>
      <c r="J248" s="9">
        <f>IF(OR(A248="",I248=""),"",EDATE(A248,I248))</f>
      </c>
    </row>
    <row r="249">
      <c r="H249" s="11">
        <f>IF(G249=0,"",ROUND(F249/G249,2))</f>
      </c>
      <c r="J249" s="9">
        <f>IF(OR(A249="",I249=""),"",EDATE(A249,I249))</f>
      </c>
    </row>
    <row r="250">
      <c r="H250" s="11">
        <f>IF(G250=0,"",ROUND(F250/G250,2))</f>
      </c>
      <c r="J250" s="9">
        <f>IF(OR(A250="",I250=""),"",EDATE(A250,I250))</f>
      </c>
    </row>
    <row r="251">
      <c r="H251" s="11">
        <f>IF(G251=0,"",ROUND(F251/G251,2))</f>
      </c>
      <c r="J251" s="9">
        <f>IF(OR(A251="",I251=""),"",EDATE(A251,I251))</f>
      </c>
    </row>
    <row r="252">
      <c r="H252" s="11">
        <f>IF(G252=0,"",ROUND(F252/G252,2))</f>
      </c>
      <c r="J252" s="9">
        <f>IF(OR(A252="",I252=""),"",EDATE(A252,I252))</f>
      </c>
    </row>
    <row r="253">
      <c r="H253" s="11">
        <f>IF(G253=0,"",ROUND(F253/G253,2))</f>
      </c>
      <c r="J253" s="9">
        <f>IF(OR(A253="",I253=""),"",EDATE(A253,I253))</f>
      </c>
    </row>
    <row r="254">
      <c r="H254" s="11">
        <f>IF(G254=0,"",ROUND(F254/G254,2))</f>
      </c>
      <c r="J254" s="9">
        <f>IF(OR(A254="",I254=""),"",EDATE(A254,I254))</f>
      </c>
    </row>
    <row r="255">
      <c r="H255" s="11">
        <f>IF(G255=0,"",ROUND(F255/G255,2))</f>
      </c>
      <c r="J255" s="9">
        <f>IF(OR(A255="",I255=""),"",EDATE(A255,I255))</f>
      </c>
    </row>
    <row r="256">
      <c r="H256" s="11">
        <f>IF(G256=0,"",ROUND(F256/G256,2))</f>
      </c>
      <c r="J256" s="9">
        <f>IF(OR(A256="",I256=""),"",EDATE(A256,I256))</f>
      </c>
    </row>
    <row r="257">
      <c r="H257" s="11">
        <f>IF(G257=0,"",ROUND(F257/G257,2))</f>
      </c>
      <c r="J257" s="9">
        <f>IF(OR(A257="",I257=""),"",EDATE(A257,I257))</f>
      </c>
    </row>
    <row r="258">
      <c r="H258" s="11">
        <f>IF(G258=0,"",ROUND(F258/G258,2))</f>
      </c>
      <c r="J258" s="9">
        <f>IF(OR(A258="",I258=""),"",EDATE(A258,I258))</f>
      </c>
    </row>
    <row r="259">
      <c r="H259" s="11">
        <f>IF(G259=0,"",ROUND(F259/G259,2))</f>
      </c>
      <c r="J259" s="9">
        <f>IF(OR(A259="",I259=""),"",EDATE(A259,I259))</f>
      </c>
    </row>
    <row r="260">
      <c r="H260" s="11">
        <f>IF(G260=0,"",ROUND(F260/G260,2))</f>
      </c>
      <c r="J260" s="9">
        <f>IF(OR(A260="",I260=""),"",EDATE(A260,I260))</f>
      </c>
    </row>
    <row r="261">
      <c r="H261" s="11">
        <f>IF(G261=0,"",ROUND(F261/G261,2))</f>
      </c>
      <c r="J261" s="9">
        <f>IF(OR(A261="",I261=""),"",EDATE(A261,I261))</f>
      </c>
    </row>
    <row r="262">
      <c r="H262" s="11">
        <f>IF(G262=0,"",ROUND(F262/G262,2))</f>
      </c>
      <c r="J262" s="9">
        <f>IF(OR(A262="",I262=""),"",EDATE(A262,I262))</f>
      </c>
    </row>
    <row r="263">
      <c r="H263" s="11">
        <f>IF(G263=0,"",ROUND(F263/G263,2))</f>
      </c>
      <c r="J263" s="9">
        <f>IF(OR(A263="",I263=""),"",EDATE(A263,I263))</f>
      </c>
    </row>
    <row r="264">
      <c r="H264" s="11">
        <f>IF(G264=0,"",ROUND(F264/G264,2))</f>
      </c>
      <c r="J264" s="9">
        <f>IF(OR(A264="",I264=""),"",EDATE(A264,I264))</f>
      </c>
    </row>
    <row r="265">
      <c r="H265" s="11">
        <f>IF(G265=0,"",ROUND(F265/G265,2))</f>
      </c>
      <c r="J265" s="9">
        <f>IF(OR(A265="",I265=""),"",EDATE(A265,I265))</f>
      </c>
    </row>
    <row r="266">
      <c r="H266" s="11">
        <f>IF(G266=0,"",ROUND(F266/G266,2))</f>
      </c>
      <c r="J266" s="9">
        <f>IF(OR(A266="",I266=""),"",EDATE(A266,I266))</f>
      </c>
    </row>
    <row r="267">
      <c r="H267" s="11">
        <f>IF(G267=0,"",ROUND(F267/G267,2))</f>
      </c>
      <c r="J267" s="9">
        <f>IF(OR(A267="",I267=""),"",EDATE(A267,I267))</f>
      </c>
    </row>
    <row r="268">
      <c r="H268" s="11">
        <f>IF(G268=0,"",ROUND(F268/G268,2))</f>
      </c>
      <c r="J268" s="9">
        <f>IF(OR(A268="",I268=""),"",EDATE(A268,I268))</f>
      </c>
    </row>
    <row r="269">
      <c r="H269" s="11">
        <f>IF(G269=0,"",ROUND(F269/G269,2))</f>
      </c>
      <c r="J269" s="9">
        <f>IF(OR(A269="",I269=""),"",EDATE(A269,I269))</f>
      </c>
    </row>
    <row r="270">
      <c r="H270" s="11">
        <f>IF(G270=0,"",ROUND(F270/G270,2))</f>
      </c>
      <c r="J270" s="9">
        <f>IF(OR(A270="",I270=""),"",EDATE(A270,I270))</f>
      </c>
    </row>
    <row r="271">
      <c r="H271" s="11">
        <f>IF(G271=0,"",ROUND(F271/G271,2))</f>
      </c>
      <c r="J271" s="9">
        <f>IF(OR(A271="",I271=""),"",EDATE(A271,I271))</f>
      </c>
    </row>
    <row r="272">
      <c r="H272" s="11">
        <f>IF(G272=0,"",ROUND(F272/G272,2))</f>
      </c>
      <c r="J272" s="9">
        <f>IF(OR(A272="",I272=""),"",EDATE(A272,I272))</f>
      </c>
    </row>
    <row r="273">
      <c r="H273" s="11">
        <f>IF(G273=0,"",ROUND(F273/G273,2))</f>
      </c>
      <c r="J273" s="9">
        <f>IF(OR(A273="",I273=""),"",EDATE(A273,I273))</f>
      </c>
    </row>
    <row r="274">
      <c r="H274" s="11">
        <f>IF(G274=0,"",ROUND(F274/G274,2))</f>
      </c>
      <c r="J274" s="9">
        <f>IF(OR(A274="",I274=""),"",EDATE(A274,I274))</f>
      </c>
    </row>
    <row r="275">
      <c r="H275" s="11">
        <f>IF(G275=0,"",ROUND(F275/G275,2))</f>
      </c>
      <c r="J275" s="9">
        <f>IF(OR(A275="",I275=""),"",EDATE(A275,I275))</f>
      </c>
    </row>
    <row r="276">
      <c r="H276" s="11">
        <f>IF(G276=0,"",ROUND(F276/G276,2))</f>
      </c>
      <c r="J276" s="9">
        <f>IF(OR(A276="",I276=""),"",EDATE(A276,I276))</f>
      </c>
    </row>
    <row r="277">
      <c r="H277" s="11">
        <f>IF(G277=0,"",ROUND(F277/G277,2))</f>
      </c>
      <c r="J277" s="9">
        <f>IF(OR(A277="",I277=""),"",EDATE(A277,I277))</f>
      </c>
    </row>
    <row r="278">
      <c r="H278" s="11">
        <f>IF(G278=0,"",ROUND(F278/G278,2))</f>
      </c>
      <c r="J278" s="9">
        <f>IF(OR(A278="",I278=""),"",EDATE(A278,I278))</f>
      </c>
    </row>
    <row r="279">
      <c r="H279" s="11">
        <f>IF(G279=0,"",ROUND(F279/G279,2))</f>
      </c>
      <c r="J279" s="9">
        <f>IF(OR(A279="",I279=""),"",EDATE(A279,I279))</f>
      </c>
    </row>
    <row r="280">
      <c r="H280" s="11">
        <f>IF(G280=0,"",ROUND(F280/G280,2))</f>
      </c>
      <c r="J280" s="9">
        <f>IF(OR(A280="",I280=""),"",EDATE(A280,I280))</f>
      </c>
    </row>
    <row r="281">
      <c r="H281" s="11">
        <f>IF(G281=0,"",ROUND(F281/G281,2))</f>
      </c>
      <c r="J281" s="9">
        <f>IF(OR(A281="",I281=""),"",EDATE(A281,I281))</f>
      </c>
    </row>
    <row r="282">
      <c r="H282" s="11">
        <f>IF(G282=0,"",ROUND(F282/G282,2))</f>
      </c>
      <c r="J282" s="9">
        <f>IF(OR(A282="",I282=""),"",EDATE(A282,I282))</f>
      </c>
    </row>
    <row r="283">
      <c r="H283" s="11">
        <f>IF(G283=0,"",ROUND(F283/G283,2))</f>
      </c>
      <c r="J283" s="9">
        <f>IF(OR(A283="",I283=""),"",EDATE(A283,I283))</f>
      </c>
    </row>
    <row r="284">
      <c r="H284" s="11">
        <f>IF(G284=0,"",ROUND(F284/G284,2))</f>
      </c>
      <c r="J284" s="9">
        <f>IF(OR(A284="",I284=""),"",EDATE(A284,I284))</f>
      </c>
    </row>
    <row r="285">
      <c r="H285" s="11">
        <f>IF(G285=0,"",ROUND(F285/G285,2))</f>
      </c>
      <c r="J285" s="9">
        <f>IF(OR(A285="",I285=""),"",EDATE(A285,I285))</f>
      </c>
    </row>
    <row r="286">
      <c r="H286" s="11">
        <f>IF(G286=0,"",ROUND(F286/G286,2))</f>
      </c>
      <c r="J286" s="9">
        <f>IF(OR(A286="",I286=""),"",EDATE(A286,I286))</f>
      </c>
    </row>
    <row r="287">
      <c r="H287" s="11">
        <f>IF(G287=0,"",ROUND(F287/G287,2))</f>
      </c>
      <c r="J287" s="9">
        <f>IF(OR(A287="",I287=""),"",EDATE(A287,I287))</f>
      </c>
    </row>
    <row r="288">
      <c r="H288" s="11">
        <f>IF(G288=0,"",ROUND(F288/G288,2))</f>
      </c>
      <c r="J288" s="9">
        <f>IF(OR(A288="",I288=""),"",EDATE(A288,I288))</f>
      </c>
    </row>
    <row r="289">
      <c r="H289" s="11">
        <f>IF(G289=0,"",ROUND(F289/G289,2))</f>
      </c>
      <c r="J289" s="9">
        <f>IF(OR(A289="",I289=""),"",EDATE(A289,I289))</f>
      </c>
    </row>
    <row r="290">
      <c r="H290" s="11">
        <f>IF(G290=0,"",ROUND(F290/G290,2))</f>
      </c>
      <c r="J290" s="9">
        <f>IF(OR(A290="",I290=""),"",EDATE(A290,I290))</f>
      </c>
    </row>
    <row r="291">
      <c r="H291" s="11">
        <f>IF(G291=0,"",ROUND(F291/G291,2))</f>
      </c>
      <c r="J291" s="9">
        <f>IF(OR(A291="",I291=""),"",EDATE(A291,I291))</f>
      </c>
    </row>
    <row r="292">
      <c r="H292" s="11">
        <f>IF(G292=0,"",ROUND(F292/G292,2))</f>
      </c>
      <c r="J292" s="9">
        <f>IF(OR(A292="",I292=""),"",EDATE(A292,I292))</f>
      </c>
    </row>
    <row r="293">
      <c r="H293" s="11">
        <f>IF(G293=0,"",ROUND(F293/G293,2))</f>
      </c>
      <c r="J293" s="9">
        <f>IF(OR(A293="",I293=""),"",EDATE(A293,I293))</f>
      </c>
    </row>
    <row r="294">
      <c r="H294" s="11">
        <f>IF(G294=0,"",ROUND(F294/G294,2))</f>
      </c>
      <c r="J294" s="9">
        <f>IF(OR(A294="",I294=""),"",EDATE(A294,I294))</f>
      </c>
    </row>
    <row r="295">
      <c r="H295" s="11">
        <f>IF(G295=0,"",ROUND(F295/G295,2))</f>
      </c>
      <c r="J295" s="9">
        <f>IF(OR(A295="",I295=""),"",EDATE(A295,I295))</f>
      </c>
    </row>
    <row r="296">
      <c r="H296" s="11">
        <f>IF(G296=0,"",ROUND(F296/G296,2))</f>
      </c>
      <c r="J296" s="9">
        <f>IF(OR(A296="",I296=""),"",EDATE(A296,I296))</f>
      </c>
    </row>
    <row r="297">
      <c r="H297" s="11">
        <f>IF(G297=0,"",ROUND(F297/G297,2))</f>
      </c>
      <c r="J297" s="9">
        <f>IF(OR(A297="",I297=""),"",EDATE(A297,I297))</f>
      </c>
    </row>
    <row r="298">
      <c r="H298" s="11">
        <f>IF(G298=0,"",ROUND(F298/G298,2))</f>
      </c>
      <c r="J298" s="9">
        <f>IF(OR(A298="",I298=""),"",EDATE(A298,I298))</f>
      </c>
    </row>
    <row r="299">
      <c r="H299" s="11">
        <f>IF(G299=0,"",ROUND(F299/G299,2))</f>
      </c>
      <c r="J299" s="9">
        <f>IF(OR(A299="",I299=""),"",EDATE(A299,I299))</f>
      </c>
    </row>
    <row r="300">
      <c r="H300" s="11">
        <f>IF(G300=0,"",ROUND(F300/G300,2))</f>
      </c>
      <c r="J300" s="9">
        <f>IF(OR(A300="",I300=""),"",EDATE(A300,I300))</f>
      </c>
    </row>
    <row r="301">
      <c r="H301" s="11">
        <f>IF(G301=0,"",ROUND(F301/G301,2))</f>
      </c>
      <c r="J301" s="9">
        <f>IF(OR(A301="",I301=""),"",EDATE(A301,I301))</f>
      </c>
    </row>
    <row r="302">
      <c r="H302" s="11">
        <f>IF(G302=0,"",ROUND(F302/G302,2))</f>
      </c>
      <c r="J302" s="9">
        <f>IF(OR(A302="",I302=""),"",EDATE(A302,I302))</f>
      </c>
    </row>
    <row r="303">
      <c r="H303" s="11">
        <f>IF(G303=0,"",ROUND(F303/G303,2))</f>
      </c>
      <c r="J303" s="9">
        <f>IF(OR(A303="",I303=""),"",EDATE(A303,I303))</f>
      </c>
    </row>
    <row r="304">
      <c r="H304" s="11">
        <f>IF(G304=0,"",ROUND(F304/G304,2))</f>
      </c>
      <c r="J304" s="9">
        <f>IF(OR(A304="",I304=""),"",EDATE(A304,I304))</f>
      </c>
    </row>
    <row r="305">
      <c r="H305" s="11">
        <f>IF(G305=0,"",ROUND(F305/G305,2))</f>
      </c>
      <c r="J305" s="9">
        <f>IF(OR(A305="",I305=""),"",EDATE(A305,I305))</f>
      </c>
    </row>
    <row r="306">
      <c r="H306" s="11">
        <f>IF(G306=0,"",ROUND(F306/G306,2))</f>
      </c>
      <c r="J306" s="9">
        <f>IF(OR(A306="",I306=""),"",EDATE(A306,I306))</f>
      </c>
    </row>
    <row r="307">
      <c r="H307" s="11">
        <f>IF(G307=0,"",ROUND(F307/G307,2))</f>
      </c>
      <c r="J307" s="9">
        <f>IF(OR(A307="",I307=""),"",EDATE(A307,I307))</f>
      </c>
    </row>
    <row r="308">
      <c r="H308" s="11">
        <f>IF(G308=0,"",ROUND(F308/G308,2))</f>
      </c>
      <c r="J308" s="9">
        <f>IF(OR(A308="",I308=""),"",EDATE(A308,I308))</f>
      </c>
    </row>
    <row r="309">
      <c r="H309" s="11">
        <f>IF(G309=0,"",ROUND(F309/G309,2))</f>
      </c>
      <c r="J309" s="9">
        <f>IF(OR(A309="",I309=""),"",EDATE(A309,I309))</f>
      </c>
    </row>
    <row r="310">
      <c r="H310" s="11">
        <f>IF(G310=0,"",ROUND(F310/G310,2))</f>
      </c>
      <c r="J310" s="9">
        <f>IF(OR(A310="",I310=""),"",EDATE(A310,I310))</f>
      </c>
    </row>
    <row r="311">
      <c r="H311" s="11">
        <f>IF(G311=0,"",ROUND(F311/G311,2))</f>
      </c>
      <c r="J311" s="9">
        <f>IF(OR(A311="",I311=""),"",EDATE(A311,I311))</f>
      </c>
    </row>
    <row r="312">
      <c r="H312" s="11">
        <f>IF(G312=0,"",ROUND(F312/G312,2))</f>
      </c>
      <c r="J312" s="9">
        <f>IF(OR(A312="",I312=""),"",EDATE(A312,I312))</f>
      </c>
    </row>
    <row r="313">
      <c r="H313" s="11">
        <f>IF(G313=0,"",ROUND(F313/G313,2))</f>
      </c>
      <c r="J313" s="9">
        <f>IF(OR(A313="",I313=""),"",EDATE(A313,I313))</f>
      </c>
    </row>
    <row r="314">
      <c r="H314" s="11">
        <f>IF(G314=0,"",ROUND(F314/G314,2))</f>
      </c>
      <c r="J314" s="9">
        <f>IF(OR(A314="",I314=""),"",EDATE(A314,I314))</f>
      </c>
    </row>
    <row r="315">
      <c r="H315" s="11">
        <f>IF(G315=0,"",ROUND(F315/G315,2))</f>
      </c>
      <c r="J315" s="9">
        <f>IF(OR(A315="",I315=""),"",EDATE(A315,I315))</f>
      </c>
    </row>
    <row r="316">
      <c r="H316" s="11">
        <f>IF(G316=0,"",ROUND(F316/G316,2))</f>
      </c>
      <c r="J316" s="9">
        <f>IF(OR(A316="",I316=""),"",EDATE(A316,I316))</f>
      </c>
    </row>
    <row r="317">
      <c r="H317" s="11">
        <f>IF(G317=0,"",ROUND(F317/G317,2))</f>
      </c>
      <c r="J317" s="9">
        <f>IF(OR(A317="",I317=""),"",EDATE(A317,I317))</f>
      </c>
    </row>
    <row r="318">
      <c r="H318" s="11">
        <f>IF(G318=0,"",ROUND(F318/G318,2))</f>
      </c>
      <c r="J318" s="9">
        <f>IF(OR(A318="",I318=""),"",EDATE(A318,I318))</f>
      </c>
    </row>
    <row r="319">
      <c r="H319" s="11">
        <f>IF(G319=0,"",ROUND(F319/G319,2))</f>
      </c>
      <c r="J319" s="9">
        <f>IF(OR(A319="",I319=""),"",EDATE(A319,I319))</f>
      </c>
    </row>
    <row r="320">
      <c r="H320" s="11">
        <f>IF(G320=0,"",ROUND(F320/G320,2))</f>
      </c>
      <c r="J320" s="9">
        <f>IF(OR(A320="",I320=""),"",EDATE(A320,I320))</f>
      </c>
    </row>
    <row r="321">
      <c r="H321" s="11">
        <f>IF(G321=0,"",ROUND(F321/G321,2))</f>
      </c>
      <c r="J321" s="9">
        <f>IF(OR(A321="",I321=""),"",EDATE(A321,I321))</f>
      </c>
    </row>
    <row r="322">
      <c r="H322" s="11">
        <f>IF(G322=0,"",ROUND(F322/G322,2))</f>
      </c>
      <c r="J322" s="9">
        <f>IF(OR(A322="",I322=""),"",EDATE(A322,I322))</f>
      </c>
    </row>
    <row r="323">
      <c r="H323" s="11">
        <f>IF(G323=0,"",ROUND(F323/G323,2))</f>
      </c>
      <c r="J323" s="9">
        <f>IF(OR(A323="",I323=""),"",EDATE(A323,I323))</f>
      </c>
    </row>
    <row r="324">
      <c r="H324" s="11">
        <f>IF(G324=0,"",ROUND(F324/G324,2))</f>
      </c>
      <c r="J324" s="9">
        <f>IF(OR(A324="",I324=""),"",EDATE(A324,I324))</f>
      </c>
    </row>
    <row r="325">
      <c r="H325" s="11">
        <f>IF(G325=0,"",ROUND(F325/G325,2))</f>
      </c>
      <c r="J325" s="9">
        <f>IF(OR(A325="",I325=""),"",EDATE(A325,I325))</f>
      </c>
    </row>
    <row r="326">
      <c r="H326" s="11">
        <f>IF(G326=0,"",ROUND(F326/G326,2))</f>
      </c>
      <c r="J326" s="9">
        <f>IF(OR(A326="",I326=""),"",EDATE(A326,I326))</f>
      </c>
    </row>
    <row r="327">
      <c r="H327" s="11">
        <f>IF(G327=0,"",ROUND(F327/G327,2))</f>
      </c>
      <c r="J327" s="9">
        <f>IF(OR(A327="",I327=""),"",EDATE(A327,I327))</f>
      </c>
    </row>
    <row r="328">
      <c r="H328" s="11">
        <f>IF(G328=0,"",ROUND(F328/G328,2))</f>
      </c>
      <c r="J328" s="9">
        <f>IF(OR(A328="",I328=""),"",EDATE(A328,I328))</f>
      </c>
    </row>
    <row r="329">
      <c r="H329" s="11">
        <f>IF(G329=0,"",ROUND(F329/G329,2))</f>
      </c>
      <c r="J329" s="9">
        <f>IF(OR(A329="",I329=""),"",EDATE(A329,I329))</f>
      </c>
    </row>
    <row r="330">
      <c r="H330" s="11">
        <f>IF(G330=0,"",ROUND(F330/G330,2))</f>
      </c>
      <c r="J330" s="9">
        <f>IF(OR(A330="",I330=""),"",EDATE(A330,I330))</f>
      </c>
    </row>
    <row r="331">
      <c r="H331" s="11">
        <f>IF(G331=0,"",ROUND(F331/G331,2))</f>
      </c>
      <c r="J331" s="9">
        <f>IF(OR(A331="",I331=""),"",EDATE(A331,I331))</f>
      </c>
    </row>
    <row r="332">
      <c r="H332" s="11">
        <f>IF(G332=0,"",ROUND(F332/G332,2))</f>
      </c>
      <c r="J332" s="9">
        <f>IF(OR(A332="",I332=""),"",EDATE(A332,I332))</f>
      </c>
    </row>
    <row r="333">
      <c r="H333" s="11">
        <f>IF(G333=0,"",ROUND(F333/G333,2))</f>
      </c>
      <c r="J333" s="9">
        <f>IF(OR(A333="",I333=""),"",EDATE(A333,I333))</f>
      </c>
    </row>
    <row r="334">
      <c r="H334" s="11">
        <f>IF(G334=0,"",ROUND(F334/G334,2))</f>
      </c>
      <c r="J334" s="9">
        <f>IF(OR(A334="",I334=""),"",EDATE(A334,I334))</f>
      </c>
    </row>
    <row r="335">
      <c r="H335" s="11">
        <f>IF(G335=0,"",ROUND(F335/G335,2))</f>
      </c>
      <c r="J335" s="9">
        <f>IF(OR(A335="",I335=""),"",EDATE(A335,I335))</f>
      </c>
    </row>
    <row r="336">
      <c r="H336" s="11">
        <f>IF(G336=0,"",ROUND(F336/G336,2))</f>
      </c>
      <c r="J336" s="9">
        <f>IF(OR(A336="",I336=""),"",EDATE(A336,I336))</f>
      </c>
    </row>
    <row r="337">
      <c r="H337" s="11">
        <f>IF(G337=0,"",ROUND(F337/G337,2))</f>
      </c>
      <c r="J337" s="9">
        <f>IF(OR(A337="",I337=""),"",EDATE(A337,I337))</f>
      </c>
    </row>
    <row r="338">
      <c r="H338" s="11">
        <f>IF(G338=0,"",ROUND(F338/G338,2))</f>
      </c>
      <c r="J338" s="9">
        <f>IF(OR(A338="",I338=""),"",EDATE(A338,I338))</f>
      </c>
    </row>
    <row r="339">
      <c r="H339" s="11">
        <f>IF(G339=0,"",ROUND(F339/G339,2))</f>
      </c>
      <c r="J339" s="9">
        <f>IF(OR(A339="",I339=""),"",EDATE(A339,I339))</f>
      </c>
    </row>
    <row r="340">
      <c r="H340" s="11">
        <f>IF(G340=0,"",ROUND(F340/G340,2))</f>
      </c>
      <c r="J340" s="9">
        <f>IF(OR(A340="",I340=""),"",EDATE(A340,I340))</f>
      </c>
    </row>
    <row r="341">
      <c r="H341" s="11">
        <f>IF(G341=0,"",ROUND(F341/G341,2))</f>
      </c>
      <c r="J341" s="9">
        <f>IF(OR(A341="",I341=""),"",EDATE(A341,I341))</f>
      </c>
    </row>
    <row r="342">
      <c r="H342" s="11">
        <f>IF(G342=0,"",ROUND(F342/G342,2))</f>
      </c>
      <c r="J342" s="9">
        <f>IF(OR(A342="",I342=""),"",EDATE(A342,I342))</f>
      </c>
    </row>
    <row r="343">
      <c r="H343" s="11">
        <f>IF(G343=0,"",ROUND(F343/G343,2))</f>
      </c>
      <c r="J343" s="9">
        <f>IF(OR(A343="",I343=""),"",EDATE(A343,I343))</f>
      </c>
    </row>
    <row r="344">
      <c r="H344" s="11">
        <f>IF(G344=0,"",ROUND(F344/G344,2))</f>
      </c>
      <c r="J344" s="9">
        <f>IF(OR(A344="",I344=""),"",EDATE(A344,I344))</f>
      </c>
    </row>
    <row r="345">
      <c r="H345" s="11">
        <f>IF(G345=0,"",ROUND(F345/G345,2))</f>
      </c>
      <c r="J345" s="9">
        <f>IF(OR(A345="",I345=""),"",EDATE(A345,I345))</f>
      </c>
    </row>
    <row r="346">
      <c r="H346" s="11">
        <f>IF(G346=0,"",ROUND(F346/G346,2))</f>
      </c>
      <c r="J346" s="9">
        <f>IF(OR(A346="",I346=""),"",EDATE(A346,I346))</f>
      </c>
    </row>
    <row r="347">
      <c r="H347" s="11">
        <f>IF(G347=0,"",ROUND(F347/G347,2))</f>
      </c>
      <c r="J347" s="9">
        <f>IF(OR(A347="",I347=""),"",EDATE(A347,I347))</f>
      </c>
    </row>
    <row r="348">
      <c r="H348" s="11">
        <f>IF(G348=0,"",ROUND(F348/G348,2))</f>
      </c>
      <c r="J348" s="9">
        <f>IF(OR(A348="",I348=""),"",EDATE(A348,I348))</f>
      </c>
    </row>
    <row r="349">
      <c r="H349" s="11">
        <f>IF(G349=0,"",ROUND(F349/G349,2))</f>
      </c>
      <c r="J349" s="9">
        <f>IF(OR(A349="",I349=""),"",EDATE(A349,I349))</f>
      </c>
    </row>
    <row r="350">
      <c r="H350" s="11">
        <f>IF(G350=0,"",ROUND(F350/G350,2))</f>
      </c>
      <c r="J350" s="9">
        <f>IF(OR(A350="",I350=""),"",EDATE(A350,I350))</f>
      </c>
    </row>
    <row r="351">
      <c r="H351" s="11">
        <f>IF(G351=0,"",ROUND(F351/G351,2))</f>
      </c>
      <c r="J351" s="9">
        <f>IF(OR(A351="",I351=""),"",EDATE(A351,I351))</f>
      </c>
    </row>
    <row r="352">
      <c r="H352" s="11">
        <f>IF(G352=0,"",ROUND(F352/G352,2))</f>
      </c>
      <c r="J352" s="9">
        <f>IF(OR(A352="",I352=""),"",EDATE(A352,I352))</f>
      </c>
    </row>
    <row r="353">
      <c r="H353" s="11">
        <f>IF(G353=0,"",ROUND(F353/G353,2))</f>
      </c>
      <c r="J353" s="9">
        <f>IF(OR(A353="",I353=""),"",EDATE(A353,I353))</f>
      </c>
    </row>
    <row r="354">
      <c r="H354" s="11">
        <f>IF(G354=0,"",ROUND(F354/G354,2))</f>
      </c>
      <c r="J354" s="9">
        <f>IF(OR(A354="",I354=""),"",EDATE(A354,I354))</f>
      </c>
    </row>
    <row r="355">
      <c r="H355" s="11">
        <f>IF(G355=0,"",ROUND(F355/G355,2))</f>
      </c>
      <c r="J355" s="9">
        <f>IF(OR(A355="",I355=""),"",EDATE(A355,I355))</f>
      </c>
    </row>
    <row r="356">
      <c r="H356" s="11">
        <f>IF(G356=0,"",ROUND(F356/G356,2))</f>
      </c>
      <c r="J356" s="9">
        <f>IF(OR(A356="",I356=""),"",EDATE(A356,I356))</f>
      </c>
    </row>
    <row r="357">
      <c r="H357" s="11">
        <f>IF(G357=0,"",ROUND(F357/G357,2))</f>
      </c>
      <c r="J357" s="9">
        <f>IF(OR(A357="",I357=""),"",EDATE(A357,I357))</f>
      </c>
    </row>
    <row r="358">
      <c r="H358" s="11">
        <f>IF(G358=0,"",ROUND(F358/G358,2))</f>
      </c>
      <c r="J358" s="9">
        <f>IF(OR(A358="",I358=""),"",EDATE(A358,I358))</f>
      </c>
    </row>
    <row r="359">
      <c r="H359" s="11">
        <f>IF(G359=0,"",ROUND(F359/G359,2))</f>
      </c>
      <c r="J359" s="9">
        <f>IF(OR(A359="",I359=""),"",EDATE(A359,I359))</f>
      </c>
    </row>
    <row r="360">
      <c r="H360" s="11">
        <f>IF(G360=0,"",ROUND(F360/G360,2))</f>
      </c>
      <c r="J360" s="9">
        <f>IF(OR(A360="",I360=""),"",EDATE(A360,I360))</f>
      </c>
    </row>
    <row r="361">
      <c r="H361" s="11">
        <f>IF(G361=0,"",ROUND(F361/G361,2))</f>
      </c>
      <c r="J361" s="9">
        <f>IF(OR(A361="",I361=""),"",EDATE(A361,I361))</f>
      </c>
    </row>
    <row r="362">
      <c r="H362" s="11">
        <f>IF(G362=0,"",ROUND(F362/G362,2))</f>
      </c>
      <c r="J362" s="9">
        <f>IF(OR(A362="",I362=""),"",EDATE(A362,I362))</f>
      </c>
    </row>
    <row r="363">
      <c r="H363" s="11">
        <f>IF(G363=0,"",ROUND(F363/G363,2))</f>
      </c>
      <c r="J363" s="9">
        <f>IF(OR(A363="",I363=""),"",EDATE(A363,I363))</f>
      </c>
    </row>
    <row r="364">
      <c r="H364" s="11">
        <f>IF(G364=0,"",ROUND(F364/G364,2))</f>
      </c>
      <c r="J364" s="9">
        <f>IF(OR(A364="",I364=""),"",EDATE(A364,I364))</f>
      </c>
    </row>
    <row r="365">
      <c r="H365" s="11">
        <f>IF(G365=0,"",ROUND(F365/G365,2))</f>
      </c>
      <c r="J365" s="9">
        <f>IF(OR(A365="",I365=""),"",EDATE(A365,I365))</f>
      </c>
    </row>
    <row r="366">
      <c r="H366" s="11">
        <f>IF(G366=0,"",ROUND(F366/G366,2))</f>
      </c>
      <c r="J366" s="9">
        <f>IF(OR(A366="",I366=""),"",EDATE(A366,I366))</f>
      </c>
    </row>
    <row r="367">
      <c r="H367" s="11">
        <f>IF(G367=0,"",ROUND(F367/G367,2))</f>
      </c>
      <c r="J367" s="9">
        <f>IF(OR(A367="",I367=""),"",EDATE(A367,I367))</f>
      </c>
    </row>
    <row r="368">
      <c r="H368" s="11">
        <f>IF(G368=0,"",ROUND(F368/G368,2))</f>
      </c>
      <c r="J368" s="9">
        <f>IF(OR(A368="",I368=""),"",EDATE(A368,I368))</f>
      </c>
    </row>
    <row r="369">
      <c r="H369" s="11">
        <f>IF(G369=0,"",ROUND(F369/G369,2))</f>
      </c>
      <c r="J369" s="9">
        <f>IF(OR(A369="",I369=""),"",EDATE(A369,I369))</f>
      </c>
    </row>
    <row r="370">
      <c r="H370" s="11">
        <f>IF(G370=0,"",ROUND(F370/G370,2))</f>
      </c>
      <c r="J370" s="9">
        <f>IF(OR(A370="",I370=""),"",EDATE(A370,I370))</f>
      </c>
    </row>
    <row r="371">
      <c r="H371" s="11">
        <f>IF(G371=0,"",ROUND(F371/G371,2))</f>
      </c>
      <c r="J371" s="9">
        <f>IF(OR(A371="",I371=""),"",EDATE(A371,I371))</f>
      </c>
    </row>
    <row r="372">
      <c r="H372" s="11">
        <f>IF(G372=0,"",ROUND(F372/G372,2))</f>
      </c>
      <c r="J372" s="9">
        <f>IF(OR(A372="",I372=""),"",EDATE(A372,I372))</f>
      </c>
    </row>
    <row r="373">
      <c r="H373" s="11">
        <f>IF(G373=0,"",ROUND(F373/G373,2))</f>
      </c>
      <c r="J373" s="9">
        <f>IF(OR(A373="",I373=""),"",EDATE(A373,I373))</f>
      </c>
    </row>
    <row r="374">
      <c r="H374" s="11">
        <f>IF(G374=0,"",ROUND(F374/G374,2))</f>
      </c>
      <c r="J374" s="9">
        <f>IF(OR(A374="",I374=""),"",EDATE(A374,I374))</f>
      </c>
    </row>
    <row r="375">
      <c r="H375" s="11">
        <f>IF(G375=0,"",ROUND(F375/G375,2))</f>
      </c>
      <c r="J375" s="9">
        <f>IF(OR(A375="",I375=""),"",EDATE(A375,I375))</f>
      </c>
    </row>
    <row r="376">
      <c r="H376" s="11">
        <f>IF(G376=0,"",ROUND(F376/G376,2))</f>
      </c>
      <c r="J376" s="9">
        <f>IF(OR(A376="",I376=""),"",EDATE(A376,I376))</f>
      </c>
    </row>
    <row r="377">
      <c r="H377" s="11">
        <f>IF(G377=0,"",ROUND(F377/G377,2))</f>
      </c>
      <c r="J377" s="9">
        <f>IF(OR(A377="",I377=""),"",EDATE(A377,I377))</f>
      </c>
    </row>
    <row r="378">
      <c r="H378" s="11">
        <f>IF(G378=0,"",ROUND(F378/G378,2))</f>
      </c>
      <c r="J378" s="9">
        <f>IF(OR(A378="",I378=""),"",EDATE(A378,I378))</f>
      </c>
    </row>
    <row r="379">
      <c r="H379" s="11">
        <f>IF(G379=0,"",ROUND(F379/G379,2))</f>
      </c>
      <c r="J379" s="9">
        <f>IF(OR(A379="",I379=""),"",EDATE(A379,I379))</f>
      </c>
    </row>
    <row r="380">
      <c r="H380" s="11">
        <f>IF(G380=0,"",ROUND(F380/G380,2))</f>
      </c>
      <c r="J380" s="9">
        <f>IF(OR(A380="",I380=""),"",EDATE(A380,I380))</f>
      </c>
    </row>
    <row r="381">
      <c r="H381" s="11">
        <f>IF(G381=0,"",ROUND(F381/G381,2))</f>
      </c>
      <c r="J381" s="9">
        <f>IF(OR(A381="",I381=""),"",EDATE(A381,I381))</f>
      </c>
    </row>
    <row r="382">
      <c r="H382" s="11">
        <f>IF(G382=0,"",ROUND(F382/G382,2))</f>
      </c>
      <c r="J382" s="9">
        <f>IF(OR(A382="",I382=""),"",EDATE(A382,I382))</f>
      </c>
    </row>
    <row r="383">
      <c r="H383" s="11">
        <f>IF(G383=0,"",ROUND(F383/G383,2))</f>
      </c>
      <c r="J383" s="9">
        <f>IF(OR(A383="",I383=""),"",EDATE(A383,I383))</f>
      </c>
    </row>
    <row r="384">
      <c r="H384" s="11">
        <f>IF(G384=0,"",ROUND(F384/G384,2))</f>
      </c>
      <c r="J384" s="9">
        <f>IF(OR(A384="",I384=""),"",EDATE(A384,I384))</f>
      </c>
    </row>
    <row r="385">
      <c r="H385" s="11">
        <f>IF(G385=0,"",ROUND(F385/G385,2))</f>
      </c>
      <c r="J385" s="9">
        <f>IF(OR(A385="",I385=""),"",EDATE(A385,I385))</f>
      </c>
    </row>
    <row r="386">
      <c r="H386" s="11">
        <f>IF(G386=0,"",ROUND(F386/G386,2))</f>
      </c>
      <c r="J386" s="9">
        <f>IF(OR(A386="",I386=""),"",EDATE(A386,I386))</f>
      </c>
    </row>
    <row r="387">
      <c r="H387" s="11">
        <f>IF(G387=0,"",ROUND(F387/G387,2))</f>
      </c>
      <c r="J387" s="9">
        <f>IF(OR(A387="",I387=""),"",EDATE(A387,I387))</f>
      </c>
    </row>
    <row r="388">
      <c r="H388" s="11">
        <f>IF(G388=0,"",ROUND(F388/G388,2))</f>
      </c>
      <c r="J388" s="9">
        <f>IF(OR(A388="",I388=""),"",EDATE(A388,I388))</f>
      </c>
    </row>
    <row r="389">
      <c r="H389" s="11">
        <f>IF(G389=0,"",ROUND(F389/G389,2))</f>
      </c>
      <c r="J389" s="9">
        <f>IF(OR(A389="",I389=""),"",EDATE(A389,I389))</f>
      </c>
    </row>
    <row r="390">
      <c r="H390" s="11">
        <f>IF(G390=0,"",ROUND(F390/G390,2))</f>
      </c>
      <c r="J390" s="9">
        <f>IF(OR(A390="",I390=""),"",EDATE(A390,I390))</f>
      </c>
    </row>
    <row r="391">
      <c r="H391" s="11">
        <f>IF(G391=0,"",ROUND(F391/G391,2))</f>
      </c>
      <c r="J391" s="9">
        <f>IF(OR(A391="",I391=""),"",EDATE(A391,I391))</f>
      </c>
    </row>
    <row r="392">
      <c r="H392" s="11">
        <f>IF(G392=0,"",ROUND(F392/G392,2))</f>
      </c>
      <c r="J392" s="9">
        <f>IF(OR(A392="",I392=""),"",EDATE(A392,I392))</f>
      </c>
    </row>
    <row r="393">
      <c r="H393" s="11">
        <f>IF(G393=0,"",ROUND(F393/G393,2))</f>
      </c>
      <c r="J393" s="9">
        <f>IF(OR(A393="",I393=""),"",EDATE(A393,I393))</f>
      </c>
    </row>
    <row r="394">
      <c r="H394" s="11">
        <f>IF(G394=0,"",ROUND(F394/G394,2))</f>
      </c>
      <c r="J394" s="9">
        <f>IF(OR(A394="",I394=""),"",EDATE(A394,I394))</f>
      </c>
    </row>
    <row r="395">
      <c r="H395" s="11">
        <f>IF(G395=0,"",ROUND(F395/G395,2))</f>
      </c>
      <c r="J395" s="9">
        <f>IF(OR(A395="",I395=""),"",EDATE(A395,I395))</f>
      </c>
    </row>
    <row r="396">
      <c r="H396" s="11">
        <f>IF(G396=0,"",ROUND(F396/G396,2))</f>
      </c>
      <c r="J396" s="9">
        <f>IF(OR(A396="",I396=""),"",EDATE(A396,I396))</f>
      </c>
    </row>
    <row r="397">
      <c r="H397" s="11">
        <f>IF(G397=0,"",ROUND(F397/G397,2))</f>
      </c>
      <c r="J397" s="9">
        <f>IF(OR(A397="",I397=""),"",EDATE(A397,I397))</f>
      </c>
    </row>
    <row r="398">
      <c r="H398" s="11">
        <f>IF(G398=0,"",ROUND(F398/G398,2))</f>
      </c>
      <c r="J398" s="9">
        <f>IF(OR(A398="",I398=""),"",EDATE(A398,I398))</f>
      </c>
    </row>
    <row r="399">
      <c r="H399" s="11">
        <f>IF(G399=0,"",ROUND(F399/G399,2))</f>
      </c>
      <c r="J399" s="9">
        <f>IF(OR(A399="",I399=""),"",EDATE(A399,I399))</f>
      </c>
    </row>
    <row r="400">
      <c r="H400" s="11">
        <f>IF(G400=0,"",ROUND(F400/G400,2))</f>
      </c>
      <c r="J400" s="9">
        <f>IF(OR(A400="",I400=""),"",EDATE(A400,I400))</f>
      </c>
    </row>
  </sheetData>
  <autoFilter ref="A1:L400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30" customWidth="1"/>
    <col min="2" max="2" width="14" customWidth="1"/>
    <col min="3" max="3" width="46" customWidth="1"/>
  </cols>
  <sheetData>
    <row r="1">
      <c r="A1" s="2" t="inlineStr">
        <is>
          <t xml:space="preserve">FOLLOW-UP DASHBOARD</t>
        </is>
      </c>
      <c r="B1" s="2" t="inlineStr">
        <is>
          <t xml:space="preserve"/>
        </is>
      </c>
      <c r="C1" s="2" t="inlineStr">
        <is>
          <t xml:space="preserve"/>
        </is>
      </c>
    </row>
    <row r="3">
      <c r="A3" s="3" t="inlineStr">
        <is>
          <t xml:space="preserve">Jobs logged</t>
        </is>
      </c>
      <c r="B3" s="9">
        <f>COUNTA(Jobs!A2:A400)</f>
      </c>
    </row>
    <row r="4">
      <c r="A4" s="3" t="inlineStr">
        <is>
          <t xml:space="preserve">Total revenue logged</t>
        </is>
      </c>
      <c r="B4" s="11">
        <f>SUM(Jobs!F2:F400)</f>
      </c>
    </row>
    <row r="5">
      <c r="A5" s="3" t="inlineStr">
        <is>
          <t xml:space="preserve">Average job size</t>
        </is>
      </c>
      <c r="B5" s="11">
        <f>IFERROR(AVERAGE(Jobs!F2:F400),"")</f>
      </c>
    </row>
    <row r="6">
      <c r="A6" s="3" t="inlineStr">
        <is>
          <t xml:space="preserve">Average $/hr</t>
        </is>
      </c>
      <c r="B6" s="11">
        <f>IFERROR(AVERAGE(Jobs!H2:H400),"")</f>
      </c>
    </row>
    <row r="8">
      <c r="A8" s="2" t="inlineStr">
        <is>
          <t xml:space="preserve">DUE NOW</t>
        </is>
      </c>
      <c r="B8" s="2" t="inlineStr">
        <is>
          <t xml:space="preserve"/>
        </is>
      </c>
      <c r="C8" s="2" t="inlineStr">
        <is>
          <t xml:space="preserve"/>
        </is>
      </c>
    </row>
    <row r="9">
      <c r="A9" s="3" t="inlineStr">
        <is>
          <t xml:space="preserve">Due in the next 30 days</t>
        </is>
      </c>
      <c r="B9" s="9">
        <f>COUNTIFS(Jobs!J2:J400,"&lt;="&amp;(TODAY()+30),Jobs!J2:J400,"&gt;="&amp;TODAY())</f>
      </c>
      <c r="C9" s="14" t="inlineStr">
        <is>
          <t xml:space="preserve">Call these this week. They already know you.</t>
        </is>
      </c>
    </row>
    <row r="10">
      <c r="A10" s="3" t="inlineStr">
        <is>
          <t xml:space="preserve">Overdue (past due date)</t>
        </is>
      </c>
      <c r="B10" s="9">
        <f>COUNTIFS(Jobs!J2:J400,"&lt;"&amp;TODAY(),Jobs!J2:J400,"&gt;0")</f>
      </c>
      <c r="C10" s="14" t="inlineStr">
        <is>
          <t xml:space="preserve">Every one of these is a job someone else is about to get</t>
        </is>
      </c>
    </row>
    <row r="12">
      <c r="A12" s="2" t="inlineStr">
        <is>
          <t xml:space="preserve">REFERRAL SOURCES</t>
        </is>
      </c>
      <c r="B12" s="2" t="inlineStr">
        <is>
          <t xml:space="preserve"/>
        </is>
      </c>
      <c r="C12" s="2" t="inlineStr">
        <is>
          <t xml:space="preserve"/>
        </is>
      </c>
    </row>
    <row r="13">
      <c r="A13" s="3" t="inlineStr">
        <is>
          <t xml:space="preserve">Source</t>
        </is>
      </c>
      <c r="B13" s="3" t="inlineStr">
        <is>
          <t xml:space="preserve">Jobs</t>
        </is>
      </c>
      <c r="C13" s="3" t="inlineStr">
        <is>
          <t xml:space="preserve">Revenue</t>
        </is>
      </c>
    </row>
    <row r="14">
      <c r="A14" s="4" t="inlineStr">
        <is>
          <t xml:space="preserve">Google</t>
        </is>
      </c>
      <c r="B14" s="9">
        <f>COUNTIF(Jobs!K2:K400,A14)</f>
      </c>
      <c r="C14" s="11">
        <f>SUMIF(Jobs!K2:K400,A14,Jobs!F2:F400)</f>
      </c>
    </row>
    <row r="15">
      <c r="A15" s="4" t="inlineStr">
        <is>
          <t xml:space="preserve">Referral</t>
        </is>
      </c>
      <c r="B15" s="9">
        <f>COUNTIF(Jobs!K2:K400,A15)</f>
      </c>
      <c r="C15" s="11">
        <f>SUMIF(Jobs!K2:K400,A15,Jobs!F2:F400)</f>
      </c>
    </row>
    <row r="16">
      <c r="A16" s="4" t="inlineStr">
        <is>
          <t xml:space="preserve">Door hanger</t>
        </is>
      </c>
      <c r="B16" s="9">
        <f>COUNTIF(Jobs!K2:K400,A16)</f>
      </c>
      <c r="C16" s="11">
        <f>SUMIF(Jobs!K2:K400,A16,Jobs!F2:F400)</f>
      </c>
    </row>
    <row r="17">
      <c r="A17" s="4" t="inlineStr">
        <is>
          <t xml:space="preserve">Facebook</t>
        </is>
      </c>
      <c r="B17" s="9">
        <f>COUNTIF(Jobs!K2:K400,A17)</f>
      </c>
      <c r="C17" s="11">
        <f>SUMIF(Jobs!K2:K400,A17,Jobs!F2:F400)</f>
      </c>
    </row>
    <row r="18">
      <c r="A18" s="4" t="inlineStr">
        <is>
          <t xml:space="preserve">Repeat customer</t>
        </is>
      </c>
      <c r="B18" s="9">
        <f>COUNTIF(Jobs!K2:K400,A18)</f>
      </c>
      <c r="C18" s="11">
        <f>SUMIF(Jobs!K2:K400,A18,Jobs!F2:F400)</f>
      </c>
    </row>
    <row r="20">
      <c r="A20" s="14" t="inlineStr">
        <is>
          <t xml:space="preserve">Overtype the source names in column A to match how you actually track leads. Whatever you type here is counted against the Referred By column on the Jobs tab.</t>
        </is>
      </c>
    </row>
  </sheetData>
  <mergeCells count="4">
    <mergeCell ref="A1:C1"/>
    <mergeCell ref="A8:C8"/>
    <mergeCell ref="A12:C12"/>
    <mergeCell ref="A20:C20"/>
  </mergeCells>
</worksheet>
</file>