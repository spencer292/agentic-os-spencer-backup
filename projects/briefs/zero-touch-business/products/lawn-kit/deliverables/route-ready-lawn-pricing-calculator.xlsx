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art Here" sheetId="1" r:id="rId1"/>
    <sheet name="Calculator" sheetId="2" r:id="rId2"/>
    <sheet name="Rate Settings" sheetId="3" r:id="rId3"/>
    <sheet name="Quote Log" sheetId="4" r:id="rId4"/>
  </sheets>
  <calcPr calcId="171027" fullCalcOnLoad="1"/>
</workbook>
</file>

<file path=xl/styles.xml><?xml version="1.0" encoding="utf-8"?>
<styleSheet xmlns="http://schemas.openxmlformats.org/spreadsheetml/2006/main">
  <numFmts count="5">
    <numFmt numFmtId="164" formatCode="&quot;$&quot;#,##0.00"/>
    <numFmt numFmtId="165" formatCode="0.00"/>
    <numFmt numFmtId="166" formatCode="mmm\ yyyy"/>
    <numFmt numFmtId="167" formatCode="mmm"/>
    <numFmt numFmtId="168" formatCode="yyyy\-mm\-dd"/>
  </numFmts>
  <fonts count="5">
    <font>
      <sz val="11"/>
      <name val="Calibri"/>
    </font>
    <font>
      <b/>
      <sz val="11"/>
      <name val="Calibri"/>
    </font>
    <font>
      <b/>
      <sz val="11"/>
      <color rgb="FFFFFFFF"/>
      <name val="Calibri"/>
    </font>
    <font>
      <i/>
      <sz val="10"/>
      <color rgb="FF666666"/>
      <name val="Calibri"/>
    </font>
    <font>
      <b/>
      <sz val="14"/>
      <name val="Calibri"/>
    </font>
  </fonts>
  <fills count="5">
    <fill>
      <patternFill patternType="none"/>
    </fill>
    <fill>
      <patternFill patternType="gray125"/>
    </fill>
    <fill>
      <patternFill patternType="solid">
        <fgColor rgb="FFFFF2CC"/>
        <bgColor indexed="64"/>
      </patternFill>
    </fill>
    <fill>
      <patternFill patternType="solid">
        <fgColor rgb="FFD9EAD3"/>
        <bgColor indexed="64"/>
      </patternFill>
    </fill>
    <fill>
      <patternFill patternType="solid">
        <fgColor rgb="FF1A7F4B"/>
        <bgColor indexed="64"/>
      </patternFill>
    </fill>
  </fills>
  <borders count="1">
    <border>
      <left/>
      <right/>
      <top/>
      <bottom/>
      <diagonal/>
    </border>
  </borders>
  <cellStyleXfs count="1">
    <xf numFmtId="0" fontId="0" fillId="0" borderId="0"/>
  </cellStyleXfs>
  <cellXfs count="18">
    <xf numFmtId="0" fontId="0" fillId="0" borderId="0" xfId="0" applyNumberFormat="1" applyFont="1" applyFill="1"/>
    <xf numFmtId="0" fontId="4" fillId="0" borderId="0" xfId="0" applyNumberFormat="1" applyFont="1" applyFill="1"/>
    <xf numFmtId="0" fontId="2" fillId="4" borderId="0" xfId="0" applyNumberFormat="1" applyFont="1" applyFill="1"/>
    <xf numFmtId="0" fontId="1" fillId="0" borderId="0" xfId="0" applyNumberFormat="1" applyFont="1" applyFill="1"/>
    <xf numFmtId="0" fontId="0" fillId="2" borderId="0" xfId="0" applyNumberFormat="1" applyFont="1" applyFill="1"/>
    <xf numFmtId="165" fontId="0" fillId="2" borderId="0" xfId="0" applyNumberFormat="1" applyFont="1" applyFill="1"/>
    <xf numFmtId="164" fontId="0" fillId="2" borderId="0" xfId="0" applyNumberFormat="1" applyFont="1" applyFill="1"/>
    <xf numFmtId="168" fontId="0" fillId="2" borderId="0" xfId="0" applyNumberFormat="1" applyFont="1" applyFill="1"/>
    <xf numFmtId="1" fontId="0" fillId="2" borderId="0" xfId="0" applyNumberFormat="1" applyFont="1" applyFill="1"/>
    <xf numFmtId="0" fontId="0" fillId="3" borderId="0" xfId="0" applyNumberFormat="1" applyFont="1" applyFill="1"/>
    <xf numFmtId="165" fontId="0" fillId="3" borderId="0" xfId="0" applyNumberFormat="1" applyFont="1" applyFill="1"/>
    <xf numFmtId="164" fontId="0" fillId="3" borderId="0" xfId="0" applyNumberFormat="1" applyFont="1" applyFill="1"/>
    <xf numFmtId="9" fontId="0" fillId="3" borderId="0" xfId="0" applyNumberFormat="1" applyFont="1" applyFill="1"/>
    <xf numFmtId="166" fontId="0" fillId="3" borderId="0" xfId="0" applyNumberFormat="1" applyFont="1" applyFill="1"/>
    <xf numFmtId="0" fontId="3" fillId="0" borderId="0" xfId="0" applyNumberFormat="1" applyFont="1" applyFill="1" applyAlignment="1">
      <alignment wrapText="1"/>
    </xf>
    <xf numFmtId="0" fontId="0" fillId="0" borderId="0" xfId="0" applyNumberFormat="1" applyFont="1" applyFill="1" applyAlignment="1">
      <alignment wrapText="1" vertical="top"/>
    </xf>
    <xf numFmtId="167" fontId="2" fillId="4" borderId="0" xfId="0" applyNumberFormat="1" applyFont="1" applyFill="1"/>
    <xf numFmtId="0" fontId="0" fillId="3" borderId="0" xfId="0" applyNumberFormat="1" applyFont="1" applyFill="1" applyAlignment="1">
      <alignment wrapText="1"/>
    </xf>
  </cellXfs>
  <cellStyles count="1">
    <cellStyle name="Normal" xfId="0" builtinId="0"/>
  </cellStyles>
  <dxfs count="4">
    <dxf>
      <font>
        <color rgb="FF006100"/>
      </font>
      <fill>
        <patternFill>
          <bgColor rgb="FFC6EFCE"/>
        </patternFill>
      </fill>
    </dxf>
    <dxf>
      <font>
        <b/>
        <color rgb="FF9C0006"/>
      </font>
      <fill>
        <patternFill>
          <bgColor rgb="FFFFC7CE"/>
        </patternFill>
      </fill>
    </dxf>
    <dxf>
      <font>
        <color rgb="FF9C6500"/>
      </font>
      <fill>
        <patternFill>
          <bgColor rgb="FFFFEB9C"/>
        </patternFill>
      </fill>
    </dxf>
    <dxf>
      <font>
        <color rgb="FFFF0000"/>
      </font>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8" customWidth="1"/>
    <col min="2" max="2" width="18" customWidth="1"/>
    <col min="3" max="3" width="18" customWidth="1"/>
    <col min="4" max="4" width="18" customWidth="1"/>
    <col min="5" max="5" width="18" customWidth="1"/>
    <col min="6" max="6" width="18" customWidth="1"/>
  </cols>
  <sheetData>
    <row r="1">
      <c r="A1" s="15" t="inlineStr">
        <is>
          <t xml:space="preserve">How to use this calculator
1. Go to the Rate Settings tab first. Set your target hourly rate, your minimum stop price, and check the mowing production rate against your own speed with your own mower. Those numbers drive everything. The defaults are sane starting points for a solo operator in a 2026 US suburban market — not gospel.
2. On the Calculator tab, fill in the yellow cells only: turf area, obstacle level, service type, frequency. The green cells do the math.
3. Quote the Per-Visit Price. Never quote hourly — customers shop hourly rates, they accept flat prices, and you're going to get faster at this every month.
4. If the Margin Check cell says FLOOR or LOW RATE, fix the price before you quote it.
5. Log every quote on the Quote Log tab to see your close rate and average stop value.
The number new operators get wrong is TRIM TIME. A small lawn with a fence, a swing set, six trees, and a flower bed border takes longer than a big open lawn. That's what the obstacle factor is for — use it honestly and you'll stop losing money on 'small' yards.
Convention: yellow cells = inputs (type here), green cells = outputs (never type here).</t>
        </is>
      </c>
    </row>
  </sheetData>
  <mergeCells count="1">
    <mergeCell ref="A1:F22"/>
  </mergeCells>
</worksheet>
</file>

<file path=xl/worksheets/sheet2.xml><?xml version="1.0" encoding="utf-8"?>
<worksheet xmlns="http://schemas.openxmlformats.org/spreadsheetml/2006/main">
  <sheetViews>
    <sheetView workbookViewId="0"/>
  </sheetViews>
  <cols>
    <col min="1" max="1" width="36" customWidth="1"/>
    <col min="2" max="2" width="26" customWidth="1"/>
    <col min="3" max="3" width="58" customWidth="1"/>
  </cols>
  <sheetData>
    <row r="1">
      <c r="A1" s="2" t="inlineStr">
        <is>
          <t xml:space="preserve">PROPERTY INPUTS</t>
        </is>
      </c>
      <c r="B1" s="2" t="inlineStr">
        <is>
          <t xml:space="preserve"/>
        </is>
      </c>
    </row>
    <row r="3">
      <c r="A3" s="3" t="inlineStr">
        <is>
          <t xml:space="preserve">Turf area to mow (sq ft)</t>
        </is>
      </c>
      <c r="B3" s="8">
        <v>8000</v>
      </c>
      <c r="C3" s="14" t="inlineStr">
        <is>
          <t xml:space="preserve">Turf only — subtract the house, drive, beds, and pool. A quarter-acre lot is rarely more than 8,000 sq ft of actual grass.</t>
        </is>
      </c>
    </row>
    <row r="4">
      <c r="A4" s="3" t="inlineStr">
        <is>
          <t xml:space="preserve">Obstacle level</t>
        </is>
      </c>
      <c r="B4" s="4" t="inlineStr">
        <is>
          <t xml:space="preserve">Average</t>
        </is>
      </c>
      <c r="C4" s="14" t="inlineStr">
        <is>
          <t xml:space="preserve">Trees, beds, fences, play sets, and tight gates. This is the factor that makes small yards unprofitable when you ignore it.</t>
        </is>
      </c>
    </row>
    <row r="5">
      <c r="A5" s="3" t="inlineStr">
        <is>
          <t xml:space="preserve">Service type</t>
        </is>
      </c>
      <c r="B5" s="4" t="inlineStr">
        <is>
          <t xml:space="preserve">Mow / Trim / Edge / Blow</t>
        </is>
      </c>
    </row>
    <row r="6">
      <c r="A6" s="3" t="inlineStr">
        <is>
          <t xml:space="preserve">Frequency</t>
        </is>
      </c>
      <c r="B6" s="4" t="inlineStr">
        <is>
          <t xml:space="preserve">Weekly</t>
        </is>
      </c>
    </row>
    <row r="7">
      <c r="A7" s="3" t="inlineStr">
        <is>
          <t xml:space="preserve">Gate access (walk-behind only)?</t>
        </is>
      </c>
      <c r="B7" s="4" t="inlineStr">
        <is>
          <t xml:space="preserve">No</t>
        </is>
      </c>
      <c r="C7" s="14" t="inlineStr">
        <is>
          <t xml:space="preserve">If the rider can't fit, production drops to the walk-behind rate</t>
        </is>
      </c>
    </row>
    <row r="8">
      <c r="A8" s="3" t="inlineStr">
        <is>
          <t xml:space="preserve">Drive time from previous stop (min)</t>
        </is>
      </c>
      <c r="B8" s="8">
        <v>8</v>
      </c>
      <c r="C8" s="14" t="inlineStr">
        <is>
          <t xml:space="preserve">The whole business is route density — this is where it shows up</t>
        </is>
      </c>
    </row>
    <row r="9">
      <c r="A9" s="3" t="inlineStr">
        <is>
          <t xml:space="preserve">Target hourly rate ($/hr)</t>
        </is>
      </c>
      <c r="B9" s="6">
        <f>'Rate Settings'!B3</f>
      </c>
    </row>
    <row r="11">
      <c r="A11" s="2" t="inlineStr">
        <is>
          <t xml:space="preserve">QUOTE OUTPUTS</t>
        </is>
      </c>
      <c r="B11" s="2" t="inlineStr">
        <is>
          <t xml:space="preserve"/>
        </is>
      </c>
    </row>
    <row r="12">
      <c r="A12" s="3" t="inlineStr">
        <is>
          <t xml:space="preserve">Mowing minutes</t>
        </is>
      </c>
      <c r="B12" s="10">
        <f>ROUND((B3/VLOOKUP(IF(B7="Yes","Walk-behind","Standard"),'Rate Settings'!A19:B20,2,FALSE))*60*VLOOKUP(B4,'Rate Settings'!A13:B15,2,FALSE),1)</f>
      </c>
    </row>
    <row r="13">
      <c r="A13" s="3" t="inlineStr">
        <is>
          <t xml:space="preserve">Total on-site minutes</t>
        </is>
      </c>
      <c r="B13" s="10">
        <f>ROUND(B12*VLOOKUP(B5,'Rate Settings'!A7:B10,2,FALSE)+'Rate Settings'!B4,1)</f>
      </c>
      <c r="C13" s="14" t="inlineStr">
        <is>
          <t xml:space="preserve">Includes unload/load time from Rate Settings</t>
        </is>
      </c>
    </row>
    <row r="14">
      <c r="A14" s="3" t="inlineStr">
        <is>
          <t xml:space="preserve">Per-visit price</t>
        </is>
      </c>
      <c r="B14" s="11">
        <f>MAX(CEILING((B13/60)*B9*VLOOKUP(B6,'Rate Settings'!A24:B27,2,FALSE),5),'Rate Settings'!B5)</f>
      </c>
    </row>
    <row r="15">
      <c r="A15" s="3" t="inlineStr">
        <is>
          <t xml:space="preserve">Effective $/hr (incl. drive)</t>
        </is>
      </c>
      <c r="B15" s="11">
        <f>IF((B13+B8)=0,"",ROUND(B14/((B13+B8)/60),2))</f>
      </c>
      <c r="C15" s="14" t="inlineStr">
        <is>
          <t xml:space="preserve">The honest number — drive time is unpaid time, and it's why density is everything</t>
        </is>
      </c>
    </row>
    <row r="16">
      <c r="A16" s="3" t="inlineStr">
        <is>
          <t xml:space="preserve">Monthly (avg 4.33 visits)</t>
        </is>
      </c>
      <c r="B16" s="11">
        <f>IF(B6="Weekly",ROUND(B14*4.33,2),IF(B6="Biweekly",ROUND(B14*2.17,2),B14))</f>
      </c>
    </row>
    <row r="17">
      <c r="A17" s="3" t="inlineStr">
        <is>
          <t xml:space="preserve">Season estimate</t>
        </is>
      </c>
      <c r="B17" s="11">
        <f>IF(B6="Weekly",ROUND(B14*'Rate Settings'!B30,2),IF(B6="Biweekly",ROUND(B14*'Rate Settings'!B30/2,2),B14))</f>
      </c>
    </row>
    <row r="18">
      <c r="A18" s="3" t="inlineStr">
        <is>
          <t xml:space="preserve">Margin check</t>
        </is>
      </c>
      <c r="B18" s="17">
        <f>IF(B14&lt;='Rate Settings'!B5,"FLOOR — priced at your minimum stop. Fine if it's on-route, skip it if it's a drive.",IF(B15&lt;B9*0.9,"LOW RATE — effective hourly is more than 10% under target once drive time is counted. Raise the price or don't take the stop.","OK"))</f>
      </c>
    </row>
  </sheetData>
  <mergeCells count="2">
    <mergeCell ref="A1:B1"/>
    <mergeCell ref="A11:B11"/>
  </mergeCells>
  <conditionalFormatting sqref="B18">
    <cfRule type="containsText" dxfId="1" priority="1" operator="containsText" text="FLOOR">
      <formula>NOT(ISERROR(SEARCH("FLOOR",B18)))</formula>
    </cfRule>
    <cfRule type="containsText" dxfId="1" priority="2" operator="containsText" text="LOW RATE">
      <formula>NOT(ISERROR(SEARCH("LOW RATE",B18)))</formula>
    </cfRule>
    <cfRule type="containsText" dxfId="0" priority="3" operator="containsText" text="OK">
      <formula>NOT(ISERROR(SEARCH("OK",B18)))</formula>
    </cfRule>
  </conditionalFormatting>
  <dataValidations count="4">
    <dataValidation type="list" allowBlank="1" showInputMessage="1" showErrorMessage="1" sqref="B4">
      <formula1>'Rate Settings'!$A$13:$A$15</formula1>
    </dataValidation>
    <dataValidation type="list" allowBlank="1" showInputMessage="1" showErrorMessage="1" sqref="B5">
      <formula1>'Rate Settings'!$A$7:$A$10</formula1>
    </dataValidation>
    <dataValidation type="list" allowBlank="1" showInputMessage="1" showErrorMessage="1" sqref="B6">
      <formula1>'Rate Settings'!$A$24:$A$27</formula1>
    </dataValidation>
    <dataValidation type="list" allowBlank="1" showInputMessage="1" showErrorMessage="1" sqref="B7">
      <formula1>"Yes,No"</formula1>
    </dataValidation>
  </dataValidations>
</worksheet>
</file>

<file path=xl/worksheets/sheet3.xml><?xml version="1.0" encoding="utf-8"?>
<worksheet xmlns="http://schemas.openxmlformats.org/spreadsheetml/2006/main">
  <sheetViews>
    <sheetView workbookViewId="0"/>
  </sheetViews>
  <cols>
    <col min="1" max="1" width="34" customWidth="1"/>
    <col min="2" max="2" width="12" customWidth="1"/>
    <col min="3" max="3" width="62" customWidth="1"/>
  </cols>
  <sheetData>
    <row r="1">
      <c r="A1" s="2" t="inlineStr">
        <is>
          <t xml:space="preserve">RATE SETTINGS — all yellow, all yours</t>
        </is>
      </c>
      <c r="B1" s="2" t="inlineStr">
        <is>
          <t xml:space="preserve"/>
        </is>
      </c>
      <c r="C1" s="2" t="inlineStr">
        <is>
          <t xml:space="preserve"/>
        </is>
      </c>
    </row>
    <row r="3">
      <c r="A3" s="3" t="inlineStr">
        <is>
          <t xml:space="preserve">Target hourly rate ($/hr revenue)</t>
        </is>
      </c>
      <c r="B3" s="6">
        <v>70</v>
      </c>
      <c r="C3" s="14" t="inlineStr">
        <is>
          <t xml:space="preserve">Solo operators: 55-90 is the workable band. This is revenue per on-site hour, not take-home.</t>
        </is>
      </c>
    </row>
    <row r="4">
      <c r="A4" s="3" t="inlineStr">
        <is>
          <t xml:space="preserve">Unload / load time per stop (min)</t>
        </is>
      </c>
      <c r="B4" s="8">
        <v>5</v>
      </c>
      <c r="C4" s="14" t="inlineStr">
        <is>
          <t xml:space="preserve">Ramps down, ramps up, every single stop. Twenty stops a week is over an hour of unpaid time if you don't bill it.</t>
        </is>
      </c>
    </row>
    <row r="5">
      <c r="A5" s="3" t="inlineStr">
        <is>
          <t xml:space="preserve">Minimum stop price ($)</t>
        </is>
      </c>
      <c r="B5" s="6">
        <v>45</v>
      </c>
      <c r="C5" s="14" t="inlineStr">
        <is>
          <t xml:space="preserve">The least you'll drop a ramp for. Below this, the stop costs you money no matter how small the yard is.</t>
        </is>
      </c>
    </row>
    <row r="6">
      <c r="A6" s="2" t="inlineStr">
        <is>
          <t xml:space="preserve">SERVICE MULTIPLIERS (x mowing time)</t>
        </is>
      </c>
      <c r="B6" s="2" t="inlineStr">
        <is>
          <t xml:space="preserve"/>
        </is>
      </c>
      <c r="C6" s="2" t="inlineStr">
        <is>
          <t xml:space="preserve"/>
        </is>
      </c>
    </row>
    <row r="7">
      <c r="A7" s="3" t="inlineStr">
        <is>
          <t xml:space="preserve">Mow / Trim / Edge / Blow</t>
        </is>
      </c>
      <c r="B7" s="5">
        <v>1.55</v>
      </c>
      <c r="C7" s="14" t="inlineStr">
        <is>
          <t xml:space="preserve">The full standard visit — trimming and edging are roughly half again the mow time</t>
        </is>
      </c>
    </row>
    <row r="8">
      <c r="A8" s="3" t="inlineStr">
        <is>
          <t xml:space="preserve">Mow / Trim / Blow (no edging)</t>
        </is>
      </c>
      <c r="B8" s="5">
        <v>1.35</v>
      </c>
    </row>
    <row r="9">
      <c r="A9" s="3" t="inlineStr">
        <is>
          <t xml:space="preserve">Mow only</t>
        </is>
      </c>
      <c r="B9" s="5">
        <v>1.0</v>
      </c>
    </row>
    <row r="10">
      <c r="A10" s="3" t="inlineStr">
        <is>
          <t xml:space="preserve">Full service + bed maintenance</t>
        </is>
      </c>
      <c r="B10" s="5">
        <v>2.1</v>
      </c>
    </row>
    <row r="12">
      <c r="A12" s="2" t="inlineStr">
        <is>
          <t xml:space="preserve">OBSTACLE FACTORS</t>
        </is>
      </c>
      <c r="B12" s="2" t="inlineStr">
        <is>
          <t xml:space="preserve"/>
        </is>
      </c>
      <c r="C12" s="2" t="inlineStr">
        <is>
          <t xml:space="preserve"/>
        </is>
      </c>
    </row>
    <row r="13">
      <c r="A13" s="3" t="inlineStr">
        <is>
          <t xml:space="preserve">Open</t>
        </is>
      </c>
      <c r="B13" s="5">
        <v>0.85</v>
      </c>
      <c r="C13" s="14" t="inlineStr">
        <is>
          <t xml:space="preserve">Wide open turf, few trees, no fence, straight passes</t>
        </is>
      </c>
    </row>
    <row r="14">
      <c r="A14" s="3" t="inlineStr">
        <is>
          <t xml:space="preserve">Average</t>
        </is>
      </c>
      <c r="B14" s="5">
        <v>1.0</v>
      </c>
    </row>
    <row r="15">
      <c r="A15" s="3" t="inlineStr">
        <is>
          <t xml:space="preserve">Heavy</t>
        </is>
      </c>
      <c r="B15" s="5">
        <v>1.35</v>
      </c>
      <c r="C15" s="14" t="inlineStr">
        <is>
          <t xml:space="preserve">Fenced, many trees and beds, play equipment, tight corners. Price this honestly — it is the single most common reason a route is busy and broke.</t>
        </is>
      </c>
    </row>
    <row r="18">
      <c r="A18" s="2" t="inlineStr">
        <is>
          <t xml:space="preserve">MOWING PRODUCTION (sq ft per hour)</t>
        </is>
      </c>
      <c r="B18" s="2" t="inlineStr">
        <is>
          <t xml:space="preserve"/>
        </is>
      </c>
      <c r="C18" s="2" t="inlineStr">
        <is>
          <t xml:space="preserve"/>
        </is>
      </c>
    </row>
    <row r="19">
      <c r="A19" s="3" t="inlineStr">
        <is>
          <t xml:space="preserve">Standard</t>
        </is>
      </c>
      <c r="B19" s="8">
        <v>32000</v>
      </c>
      <c r="C19" s="14" t="inlineStr">
        <is>
          <t xml:space="preserve">A 48" stand-on or rider on open residential turf</t>
        </is>
      </c>
    </row>
    <row r="20">
      <c r="A20" s="3" t="inlineStr">
        <is>
          <t xml:space="preserve">Walk-behind</t>
        </is>
      </c>
      <c r="B20" s="8">
        <v>20000</v>
      </c>
      <c r="C20" s="14" t="inlineStr">
        <is>
          <t xml:space="preserve">36" walk-behind, or any yard where the gate forces the small mower</t>
        </is>
      </c>
    </row>
    <row r="23">
      <c r="A23" s="2" t="inlineStr">
        <is>
          <t xml:space="preserve">FREQUENCY MULTIPLIERS</t>
        </is>
      </c>
      <c r="B23" s="2" t="inlineStr">
        <is>
          <t xml:space="preserve"/>
        </is>
      </c>
      <c r="C23" s="2" t="inlineStr">
        <is>
          <t xml:space="preserve"/>
        </is>
      </c>
    </row>
    <row r="24">
      <c r="A24" s="3" t="inlineStr">
        <is>
          <t xml:space="preserve">Weekly</t>
        </is>
      </c>
      <c r="B24" s="5">
        <v>1.0</v>
      </c>
      <c r="C24" s="14" t="inlineStr">
        <is>
          <t xml:space="preserve">The baseline. Weekly clients are the route you're actually building.</t>
        </is>
      </c>
    </row>
    <row r="25">
      <c r="A25" s="3" t="inlineStr">
        <is>
          <t xml:space="preserve">Biweekly</t>
        </is>
      </c>
      <c r="B25" s="5">
        <v>1.3</v>
      </c>
      <c r="C25" s="14" t="inlineStr">
        <is>
          <t xml:space="preserve">Costs MORE per visit, not less — double the growth, double the mess, same drive.</t>
        </is>
      </c>
    </row>
    <row r="26">
      <c r="A26" s="3" t="inlineStr">
        <is>
          <t xml:space="preserve">Monthly</t>
        </is>
      </c>
      <c r="B26" s="5">
        <v>1.6</v>
      </c>
    </row>
    <row r="27">
      <c r="A27" s="3" t="inlineStr">
        <is>
          <t xml:space="preserve">One-Time</t>
        </is>
      </c>
      <c r="B27" s="5">
        <v>1.85</v>
      </c>
      <c r="C27" s="14" t="inlineStr">
        <is>
          <t xml:space="preserve">Overgrown one-offs are usually two cuts of work. Price them like it or decline them.</t>
        </is>
      </c>
    </row>
    <row r="29">
      <c r="A29" s="2" t="inlineStr">
        <is>
          <t xml:space="preserve">SEASON</t>
        </is>
      </c>
      <c r="B29" s="2" t="inlineStr">
        <is>
          <t xml:space="preserve"/>
        </is>
      </c>
      <c r="C29" s="2" t="inlineStr">
        <is>
          <t xml:space="preserve"/>
        </is>
      </c>
    </row>
    <row r="30">
      <c r="A30" s="3" t="inlineStr">
        <is>
          <t xml:space="preserve">Mowing weeks per season</t>
        </is>
      </c>
      <c r="B30" s="8">
        <v>30</v>
      </c>
      <c r="C30" s="14" t="inlineStr">
        <is>
          <t xml:space="preserve">Varies hugely by region — 26 in the north, 40+ in the south. Set yours.</t>
        </is>
      </c>
    </row>
  </sheetData>
  <mergeCells count="6">
    <mergeCell ref="A1:C1"/>
    <mergeCell ref="A6:C6"/>
    <mergeCell ref="A12:C12"/>
    <mergeCell ref="A18:C18"/>
    <mergeCell ref="A23:C23"/>
    <mergeCell ref="A29:C29"/>
  </mergeCells>
</worksheet>
</file>

<file path=xl/worksheets/sheet4.xml><?xml version="1.0" encoding="utf-8"?>
<worksheet xmlns="http://schemas.openxmlformats.org/spreadsheetml/2006/main">
  <sheetViews>
    <sheetView workbookViewId="0">
      <pane ySplit="1" topLeftCell="A2" activePane="bottomLeft" state="frozen"/>
      <selection pane="bottomLeft" activeCell="A2" sqref="A2"/>
    </sheetView>
  </sheetViews>
  <cols>
    <col min="1" max="1" width="12" customWidth="1"/>
    <col min="2" max="2" width="20" customWidth="1"/>
    <col min="3" max="3" width="12" customWidth="1"/>
    <col min="4" max="4" width="11" customWidth="1"/>
    <col min="5" max="5" width="11" customWidth="1"/>
    <col min="6" max="6" width="14" customWidth="1"/>
    <col min="7" max="7" width="12" customWidth="1"/>
    <col min="8" max="8" width="13" customWidth="1"/>
    <col min="9" max="9" width="10" customWidth="1"/>
    <col min="11" max="11" width="14" customWidth="1"/>
    <col min="12" max="12" width="12" customWidth="1"/>
  </cols>
  <sheetData>
    <row r="1">
      <c r="A1" s="2" t="inlineStr">
        <is>
          <t xml:space="preserve">Date</t>
        </is>
      </c>
      <c r="B1" s="2" t="inlineStr">
        <is>
          <t xml:space="preserve">Customer</t>
        </is>
      </c>
      <c r="C1" s="2" t="inlineStr">
        <is>
          <t xml:space="preserve">Turf Sq Ft</t>
        </is>
      </c>
      <c r="D1" s="2" t="inlineStr">
        <is>
          <t xml:space="preserve">Obstacles</t>
        </is>
      </c>
      <c r="E1" s="2" t="inlineStr">
        <is>
          <t xml:space="preserve">Frequency</t>
        </is>
      </c>
      <c r="F1" s="2" t="inlineStr">
        <is>
          <t xml:space="preserve">Price/Visit ($)</t>
        </is>
      </c>
      <c r="G1" s="2" t="inlineStr">
        <is>
          <t xml:space="preserve">On-site Min</t>
        </is>
      </c>
      <c r="H1" s="2" t="inlineStr">
        <is>
          <t xml:space="preserve">Effective $/hr</t>
        </is>
      </c>
      <c r="I1" s="2" t="inlineStr">
        <is>
          <t xml:space="preserve">Won?</t>
        </is>
      </c>
      <c r="K1" s="3" t="inlineStr">
        <is>
          <t xml:space="preserve">Close rate</t>
        </is>
      </c>
      <c r="L1" s="12">
        <f>IFERROR(COUNTIF(I2:I500,"Won")/COUNTA(I2:I500),"")</f>
      </c>
    </row>
    <row r="2">
      <c r="A2" s="7">
        <v>46126</v>
      </c>
      <c r="B2" s="4" t="inlineStr">
        <is>
          <t xml:space="preserve">Okafor, D.</t>
        </is>
      </c>
      <c r="C2" s="8">
        <v>8000</v>
      </c>
      <c r="D2" s="4" t="inlineStr">
        <is>
          <t xml:space="preserve">Average</t>
        </is>
      </c>
      <c r="E2" s="4" t="inlineStr">
        <is>
          <t xml:space="preserve">Weekly</t>
        </is>
      </c>
      <c r="F2" s="6">
        <v>55</v>
      </c>
      <c r="G2" s="8">
        <v>34</v>
      </c>
      <c r="H2" s="11">
        <f>IF(G2=0,"",ROUND(F2/(G2/60),2))</f>
      </c>
      <c r="I2" s="4" t="inlineStr">
        <is>
          <t xml:space="preserve">Won</t>
        </is>
      </c>
      <c r="K2" s="3" t="inlineStr">
        <is>
          <t xml:space="preserve">Average stop</t>
        </is>
      </c>
      <c r="L2" s="11">
        <f>IFERROR(AVERAGE(F2:F500),"")</f>
      </c>
    </row>
    <row r="3">
      <c r="A3" s="7">
        <v>46128</v>
      </c>
      <c r="B3" s="4" t="inlineStr">
        <is>
          <t xml:space="preserve">Ruiz, M.</t>
        </is>
      </c>
      <c r="C3" s="8">
        <v>14000</v>
      </c>
      <c r="D3" s="4" t="inlineStr">
        <is>
          <t xml:space="preserve">Open</t>
        </is>
      </c>
      <c r="E3" s="4" t="inlineStr">
        <is>
          <t xml:space="preserve">Weekly</t>
        </is>
      </c>
      <c r="F3" s="6">
        <v>65</v>
      </c>
      <c r="G3" s="8">
        <v>41</v>
      </c>
      <c r="H3" s="11">
        <f>IF(G3=0,"",ROUND(F3/(G3/60),2))</f>
      </c>
      <c r="I3" s="4" t="inlineStr">
        <is>
          <t xml:space="preserve">Won</t>
        </is>
      </c>
      <c r="K3" s="3" t="inlineStr">
        <is>
          <t xml:space="preserve">Average $/hr</t>
        </is>
      </c>
      <c r="L3" s="11">
        <f>IFERROR(AVERAGE(H2:H500),"")</f>
      </c>
    </row>
    <row r="4">
      <c r="A4" s="7">
        <v>46131</v>
      </c>
      <c r="B4" s="4" t="inlineStr">
        <is>
          <t xml:space="preserve">Bell, S.</t>
        </is>
      </c>
      <c r="C4" s="8">
        <v>5000</v>
      </c>
      <c r="D4" s="4" t="inlineStr">
        <is>
          <t xml:space="preserve">Heavy</t>
        </is>
      </c>
      <c r="E4" s="4" t="inlineStr">
        <is>
          <t xml:space="preserve">Biweekly</t>
        </is>
      </c>
      <c r="F4" s="6">
        <v>60</v>
      </c>
      <c r="G4" s="8">
        <v>38</v>
      </c>
      <c r="H4" s="11">
        <f>IF(G4=0,"",ROUND(F4/(G4/60),2))</f>
      </c>
      <c r="I4" s="4" t="inlineStr">
        <is>
          <t xml:space="preserve">Lost</t>
        </is>
      </c>
    </row>
    <row r="5">
      <c r="H5" s="11">
        <f>IF(G5=0,"",ROUND(F5/(G5/60),2))</f>
      </c>
    </row>
    <row r="6">
      <c r="H6" s="11">
        <f>IF(G6=0,"",ROUND(F6/(G6/60),2))</f>
      </c>
    </row>
    <row r="7">
      <c r="H7" s="11">
        <f>IF(G7=0,"",ROUND(F7/(G7/60),2))</f>
      </c>
    </row>
    <row r="8">
      <c r="H8" s="11">
        <f>IF(G8=0,"",ROUND(F8/(G8/60),2))</f>
      </c>
    </row>
    <row r="9">
      <c r="H9" s="11">
        <f>IF(G9=0,"",ROUND(F9/(G9/60),2))</f>
      </c>
    </row>
    <row r="10">
      <c r="H10" s="11">
        <f>IF(G10=0,"",ROUND(F10/(G10/60),2))</f>
      </c>
    </row>
    <row r="11">
      <c r="H11" s="11">
        <f>IF(G11=0,"",ROUND(F11/(G11/60),2))</f>
      </c>
    </row>
    <row r="12">
      <c r="H12" s="11">
        <f>IF(G12=0,"",ROUND(F12/(G12/60),2))</f>
      </c>
    </row>
    <row r="13">
      <c r="H13" s="11">
        <f>IF(G13=0,"",ROUND(F13/(G13/60),2))</f>
      </c>
    </row>
    <row r="14">
      <c r="H14" s="11">
        <f>IF(G14=0,"",ROUND(F14/(G14/60),2))</f>
      </c>
    </row>
    <row r="15">
      <c r="H15" s="11">
        <f>IF(G15=0,"",ROUND(F15/(G15/60),2))</f>
      </c>
    </row>
    <row r="16">
      <c r="H16" s="11">
        <f>IF(G16=0,"",ROUND(F16/(G16/60),2))</f>
      </c>
    </row>
    <row r="17">
      <c r="H17" s="11">
        <f>IF(G17=0,"",ROUND(F17/(G17/60),2))</f>
      </c>
    </row>
    <row r="18">
      <c r="H18" s="11">
        <f>IF(G18=0,"",ROUND(F18/(G18/60),2))</f>
      </c>
    </row>
    <row r="19">
      <c r="H19" s="11">
        <f>IF(G19=0,"",ROUND(F19/(G19/60),2))</f>
      </c>
    </row>
    <row r="20">
      <c r="H20" s="11">
        <f>IF(G20=0,"",ROUND(F20/(G20/60),2))</f>
      </c>
    </row>
    <row r="21">
      <c r="H21" s="11">
        <f>IF(G21=0,"",ROUND(F21/(G21/60),2))</f>
      </c>
    </row>
    <row r="22">
      <c r="H22" s="11">
        <f>IF(G22=0,"",ROUND(F22/(G22/60),2))</f>
      </c>
    </row>
    <row r="23">
      <c r="H23" s="11">
        <f>IF(G23=0,"",ROUND(F23/(G23/60),2))</f>
      </c>
    </row>
    <row r="24">
      <c r="H24" s="11">
        <f>IF(G24=0,"",ROUND(F24/(G24/60),2))</f>
      </c>
    </row>
    <row r="25">
      <c r="H25" s="11">
        <f>IF(G25=0,"",ROUND(F25/(G25/60),2))</f>
      </c>
    </row>
    <row r="26">
      <c r="H26" s="11">
        <f>IF(G26=0,"",ROUND(F26/(G26/60),2))</f>
      </c>
    </row>
    <row r="27">
      <c r="H27" s="11">
        <f>IF(G27=0,"",ROUND(F27/(G27/60),2))</f>
      </c>
    </row>
    <row r="28">
      <c r="H28" s="11">
        <f>IF(G28=0,"",ROUND(F28/(G28/60),2))</f>
      </c>
    </row>
    <row r="29">
      <c r="H29" s="11">
        <f>IF(G29=0,"",ROUND(F29/(G29/60),2))</f>
      </c>
    </row>
    <row r="30">
      <c r="H30" s="11">
        <f>IF(G30=0,"",ROUND(F30/(G30/60),2))</f>
      </c>
    </row>
    <row r="31">
      <c r="H31" s="11">
        <f>IF(G31=0,"",ROUND(F31/(G31/60),2))</f>
      </c>
    </row>
    <row r="32">
      <c r="H32" s="11">
        <f>IF(G32=0,"",ROUND(F32/(G32/60),2))</f>
      </c>
    </row>
    <row r="33">
      <c r="H33" s="11">
        <f>IF(G33=0,"",ROUND(F33/(G33/60),2))</f>
      </c>
    </row>
    <row r="34">
      <c r="H34" s="11">
        <f>IF(G34=0,"",ROUND(F34/(G34/60),2))</f>
      </c>
    </row>
    <row r="35">
      <c r="H35" s="11">
        <f>IF(G35=0,"",ROUND(F35/(G35/60),2))</f>
      </c>
    </row>
    <row r="36">
      <c r="H36" s="11">
        <f>IF(G36=0,"",ROUND(F36/(G36/60),2))</f>
      </c>
    </row>
    <row r="37">
      <c r="H37" s="11">
        <f>IF(G37=0,"",ROUND(F37/(G37/60),2))</f>
      </c>
    </row>
    <row r="38">
      <c r="H38" s="11">
        <f>IF(G38=0,"",ROUND(F38/(G38/60),2))</f>
      </c>
    </row>
    <row r="39">
      <c r="H39" s="11">
        <f>IF(G39=0,"",ROUND(F39/(G39/60),2))</f>
      </c>
    </row>
    <row r="40">
      <c r="H40" s="11">
        <f>IF(G40=0,"",ROUND(F40/(G40/60),2))</f>
      </c>
    </row>
    <row r="41">
      <c r="H41" s="11">
        <f>IF(G41=0,"",ROUND(F41/(G41/60),2))</f>
      </c>
    </row>
    <row r="42">
      <c r="H42" s="11">
        <f>IF(G42=0,"",ROUND(F42/(G42/60),2))</f>
      </c>
    </row>
    <row r="43">
      <c r="H43" s="11">
        <f>IF(G43=0,"",ROUND(F43/(G43/60),2))</f>
      </c>
    </row>
    <row r="44">
      <c r="H44" s="11">
        <f>IF(G44=0,"",ROUND(F44/(G44/60),2))</f>
      </c>
    </row>
    <row r="45">
      <c r="H45" s="11">
        <f>IF(G45=0,"",ROUND(F45/(G45/60),2))</f>
      </c>
    </row>
    <row r="46">
      <c r="H46" s="11">
        <f>IF(G46=0,"",ROUND(F46/(G46/60),2))</f>
      </c>
    </row>
    <row r="47">
      <c r="H47" s="11">
        <f>IF(G47=0,"",ROUND(F47/(G47/60),2))</f>
      </c>
    </row>
    <row r="48">
      <c r="H48" s="11">
        <f>IF(G48=0,"",ROUND(F48/(G48/60),2))</f>
      </c>
    </row>
    <row r="49">
      <c r="H49" s="11">
        <f>IF(G49=0,"",ROUND(F49/(G49/60),2))</f>
      </c>
    </row>
    <row r="50">
      <c r="H50" s="11">
        <f>IF(G50=0,"",ROUND(F50/(G50/60),2))</f>
      </c>
    </row>
    <row r="51">
      <c r="H51" s="11">
        <f>IF(G51=0,"",ROUND(F51/(G51/60),2))</f>
      </c>
    </row>
    <row r="52">
      <c r="H52" s="11">
        <f>IF(G52=0,"",ROUND(F52/(G52/60),2))</f>
      </c>
    </row>
    <row r="53">
      <c r="H53" s="11">
        <f>IF(G53=0,"",ROUND(F53/(G53/60),2))</f>
      </c>
    </row>
    <row r="54">
      <c r="H54" s="11">
        <f>IF(G54=0,"",ROUND(F54/(G54/60),2))</f>
      </c>
    </row>
    <row r="55">
      <c r="H55" s="11">
        <f>IF(G55=0,"",ROUND(F55/(G55/60),2))</f>
      </c>
    </row>
    <row r="56">
      <c r="H56" s="11">
        <f>IF(G56=0,"",ROUND(F56/(G56/60),2))</f>
      </c>
    </row>
    <row r="57">
      <c r="H57" s="11">
        <f>IF(G57=0,"",ROUND(F57/(G57/60),2))</f>
      </c>
    </row>
    <row r="58">
      <c r="H58" s="11">
        <f>IF(G58=0,"",ROUND(F58/(G58/60),2))</f>
      </c>
    </row>
    <row r="59">
      <c r="H59" s="11">
        <f>IF(G59=0,"",ROUND(F59/(G59/60),2))</f>
      </c>
    </row>
    <row r="60">
      <c r="H60" s="11">
        <f>IF(G60=0,"",ROUND(F60/(G60/60),2))</f>
      </c>
    </row>
    <row r="61">
      <c r="H61" s="11">
        <f>IF(G61=0,"",ROUND(F61/(G61/60),2))</f>
      </c>
    </row>
    <row r="62">
      <c r="H62" s="11">
        <f>IF(G62=0,"",ROUND(F62/(G62/60),2))</f>
      </c>
    </row>
    <row r="63">
      <c r="H63" s="11">
        <f>IF(G63=0,"",ROUND(F63/(G63/60),2))</f>
      </c>
    </row>
    <row r="64">
      <c r="H64" s="11">
        <f>IF(G64=0,"",ROUND(F64/(G64/60),2))</f>
      </c>
    </row>
    <row r="65">
      <c r="H65" s="11">
        <f>IF(G65=0,"",ROUND(F65/(G65/60),2))</f>
      </c>
    </row>
    <row r="66">
      <c r="H66" s="11">
        <f>IF(G66=0,"",ROUND(F66/(G66/60),2))</f>
      </c>
    </row>
    <row r="67">
      <c r="H67" s="11">
        <f>IF(G67=0,"",ROUND(F67/(G67/60),2))</f>
      </c>
    </row>
    <row r="68">
      <c r="H68" s="11">
        <f>IF(G68=0,"",ROUND(F68/(G68/60),2))</f>
      </c>
    </row>
    <row r="69">
      <c r="H69" s="11">
        <f>IF(G69=0,"",ROUND(F69/(G69/60),2))</f>
      </c>
    </row>
    <row r="70">
      <c r="H70" s="11">
        <f>IF(G70=0,"",ROUND(F70/(G70/60),2))</f>
      </c>
    </row>
    <row r="71">
      <c r="H71" s="11">
        <f>IF(G71=0,"",ROUND(F71/(G71/60),2))</f>
      </c>
    </row>
    <row r="72">
      <c r="H72" s="11">
        <f>IF(G72=0,"",ROUND(F72/(G72/60),2))</f>
      </c>
    </row>
    <row r="73">
      <c r="H73" s="11">
        <f>IF(G73=0,"",ROUND(F73/(G73/60),2))</f>
      </c>
    </row>
    <row r="74">
      <c r="H74" s="11">
        <f>IF(G74=0,"",ROUND(F74/(G74/60),2))</f>
      </c>
    </row>
    <row r="75">
      <c r="H75" s="11">
        <f>IF(G75=0,"",ROUND(F75/(G75/60),2))</f>
      </c>
    </row>
    <row r="76">
      <c r="H76" s="11">
        <f>IF(G76=0,"",ROUND(F76/(G76/60),2))</f>
      </c>
    </row>
    <row r="77">
      <c r="H77" s="11">
        <f>IF(G77=0,"",ROUND(F77/(G77/60),2))</f>
      </c>
    </row>
    <row r="78">
      <c r="H78" s="11">
        <f>IF(G78=0,"",ROUND(F78/(G78/60),2))</f>
      </c>
    </row>
    <row r="79">
      <c r="H79" s="11">
        <f>IF(G79=0,"",ROUND(F79/(G79/60),2))</f>
      </c>
    </row>
    <row r="80">
      <c r="H80" s="11">
        <f>IF(G80=0,"",ROUND(F80/(G80/60),2))</f>
      </c>
    </row>
    <row r="81">
      <c r="H81" s="11">
        <f>IF(G81=0,"",ROUND(F81/(G81/60),2))</f>
      </c>
    </row>
    <row r="82">
      <c r="H82" s="11">
        <f>IF(G82=0,"",ROUND(F82/(G82/60),2))</f>
      </c>
    </row>
    <row r="83">
      <c r="H83" s="11">
        <f>IF(G83=0,"",ROUND(F83/(G83/60),2))</f>
      </c>
    </row>
    <row r="84">
      <c r="H84" s="11">
        <f>IF(G84=0,"",ROUND(F84/(G84/60),2))</f>
      </c>
    </row>
    <row r="85">
      <c r="H85" s="11">
        <f>IF(G85=0,"",ROUND(F85/(G85/60),2))</f>
      </c>
    </row>
    <row r="86">
      <c r="H86" s="11">
        <f>IF(G86=0,"",ROUND(F86/(G86/60),2))</f>
      </c>
    </row>
    <row r="87">
      <c r="H87" s="11">
        <f>IF(G87=0,"",ROUND(F87/(G87/60),2))</f>
      </c>
    </row>
    <row r="88">
      <c r="H88" s="11">
        <f>IF(G88=0,"",ROUND(F88/(G88/60),2))</f>
      </c>
    </row>
    <row r="89">
      <c r="H89" s="11">
        <f>IF(G89=0,"",ROUND(F89/(G89/60),2))</f>
      </c>
    </row>
    <row r="90">
      <c r="H90" s="11">
        <f>IF(G90=0,"",ROUND(F90/(G90/60),2))</f>
      </c>
    </row>
    <row r="91">
      <c r="H91" s="11">
        <f>IF(G91=0,"",ROUND(F91/(G91/60),2))</f>
      </c>
    </row>
    <row r="92">
      <c r="H92" s="11">
        <f>IF(G92=0,"",ROUND(F92/(G92/60),2))</f>
      </c>
    </row>
    <row r="93">
      <c r="H93" s="11">
        <f>IF(G93=0,"",ROUND(F93/(G93/60),2))</f>
      </c>
    </row>
    <row r="94">
      <c r="H94" s="11">
        <f>IF(G94=0,"",ROUND(F94/(G94/60),2))</f>
      </c>
    </row>
    <row r="95">
      <c r="H95" s="11">
        <f>IF(G95=0,"",ROUND(F95/(G95/60),2))</f>
      </c>
    </row>
    <row r="96">
      <c r="H96" s="11">
        <f>IF(G96=0,"",ROUND(F96/(G96/60),2))</f>
      </c>
    </row>
    <row r="97">
      <c r="H97" s="11">
        <f>IF(G97=0,"",ROUND(F97/(G97/60),2))</f>
      </c>
    </row>
    <row r="98">
      <c r="H98" s="11">
        <f>IF(G98=0,"",ROUND(F98/(G98/60),2))</f>
      </c>
    </row>
    <row r="99">
      <c r="H99" s="11">
        <f>IF(G99=0,"",ROUND(F99/(G99/60),2))</f>
      </c>
    </row>
    <row r="100">
      <c r="H100" s="11">
        <f>IF(G100=0,"",ROUND(F100/(G100/60),2))</f>
      </c>
    </row>
    <row r="101">
      <c r="H101" s="11">
        <f>IF(G101=0,"",ROUND(F101/(G101/60),2))</f>
      </c>
    </row>
    <row r="102">
      <c r="H102" s="11">
        <f>IF(G102=0,"",ROUND(F102/(G102/60),2))</f>
      </c>
    </row>
    <row r="103">
      <c r="H103" s="11">
        <f>IF(G103=0,"",ROUND(F103/(G103/60),2))</f>
      </c>
    </row>
    <row r="104">
      <c r="H104" s="11">
        <f>IF(G104=0,"",ROUND(F104/(G104/60),2))</f>
      </c>
    </row>
    <row r="105">
      <c r="H105" s="11">
        <f>IF(G105=0,"",ROUND(F105/(G105/60),2))</f>
      </c>
    </row>
    <row r="106">
      <c r="H106" s="11">
        <f>IF(G106=0,"",ROUND(F106/(G106/60),2))</f>
      </c>
    </row>
    <row r="107">
      <c r="H107" s="11">
        <f>IF(G107=0,"",ROUND(F107/(G107/60),2))</f>
      </c>
    </row>
    <row r="108">
      <c r="H108" s="11">
        <f>IF(G108=0,"",ROUND(F108/(G108/60),2))</f>
      </c>
    </row>
    <row r="109">
      <c r="H109" s="11">
        <f>IF(G109=0,"",ROUND(F109/(G109/60),2))</f>
      </c>
    </row>
    <row r="110">
      <c r="H110" s="11">
        <f>IF(G110=0,"",ROUND(F110/(G110/60),2))</f>
      </c>
    </row>
    <row r="111">
      <c r="H111" s="11">
        <f>IF(G111=0,"",ROUND(F111/(G111/60),2))</f>
      </c>
    </row>
    <row r="112">
      <c r="H112" s="11">
        <f>IF(G112=0,"",ROUND(F112/(G112/60),2))</f>
      </c>
    </row>
    <row r="113">
      <c r="H113" s="11">
        <f>IF(G113=0,"",ROUND(F113/(G113/60),2))</f>
      </c>
    </row>
    <row r="114">
      <c r="H114" s="11">
        <f>IF(G114=0,"",ROUND(F114/(G114/60),2))</f>
      </c>
    </row>
    <row r="115">
      <c r="H115" s="11">
        <f>IF(G115=0,"",ROUND(F115/(G115/60),2))</f>
      </c>
    </row>
    <row r="116">
      <c r="H116" s="11">
        <f>IF(G116=0,"",ROUND(F116/(G116/60),2))</f>
      </c>
    </row>
    <row r="117">
      <c r="H117" s="11">
        <f>IF(G117=0,"",ROUND(F117/(G117/60),2))</f>
      </c>
    </row>
    <row r="118">
      <c r="H118" s="11">
        <f>IF(G118=0,"",ROUND(F118/(G118/60),2))</f>
      </c>
    </row>
    <row r="119">
      <c r="H119" s="11">
        <f>IF(G119=0,"",ROUND(F119/(G119/60),2))</f>
      </c>
    </row>
    <row r="120">
      <c r="H120" s="11">
        <f>IF(G120=0,"",ROUND(F120/(G120/60),2))</f>
      </c>
    </row>
    <row r="121">
      <c r="H121" s="11">
        <f>IF(G121=0,"",ROUND(F121/(G121/60),2))</f>
      </c>
    </row>
    <row r="122">
      <c r="H122" s="11">
        <f>IF(G122=0,"",ROUND(F122/(G122/60),2))</f>
      </c>
    </row>
    <row r="123">
      <c r="H123" s="11">
        <f>IF(G123=0,"",ROUND(F123/(G123/60),2))</f>
      </c>
    </row>
    <row r="124">
      <c r="H124" s="11">
        <f>IF(G124=0,"",ROUND(F124/(G124/60),2))</f>
      </c>
    </row>
    <row r="125">
      <c r="H125" s="11">
        <f>IF(G125=0,"",ROUND(F125/(G125/60),2))</f>
      </c>
    </row>
    <row r="126">
      <c r="H126" s="11">
        <f>IF(G126=0,"",ROUND(F126/(G126/60),2))</f>
      </c>
    </row>
    <row r="127">
      <c r="H127" s="11">
        <f>IF(G127=0,"",ROUND(F127/(G127/60),2))</f>
      </c>
    </row>
    <row r="128">
      <c r="H128" s="11">
        <f>IF(G128=0,"",ROUND(F128/(G128/60),2))</f>
      </c>
    </row>
    <row r="129">
      <c r="H129" s="11">
        <f>IF(G129=0,"",ROUND(F129/(G129/60),2))</f>
      </c>
    </row>
    <row r="130">
      <c r="H130" s="11">
        <f>IF(G130=0,"",ROUND(F130/(G130/60),2))</f>
      </c>
    </row>
    <row r="131">
      <c r="H131" s="11">
        <f>IF(G131=0,"",ROUND(F131/(G131/60),2))</f>
      </c>
    </row>
    <row r="132">
      <c r="H132" s="11">
        <f>IF(G132=0,"",ROUND(F132/(G132/60),2))</f>
      </c>
    </row>
    <row r="133">
      <c r="H133" s="11">
        <f>IF(G133=0,"",ROUND(F133/(G133/60),2))</f>
      </c>
    </row>
    <row r="134">
      <c r="H134" s="11">
        <f>IF(G134=0,"",ROUND(F134/(G134/60),2))</f>
      </c>
    </row>
    <row r="135">
      <c r="H135" s="11">
        <f>IF(G135=0,"",ROUND(F135/(G135/60),2))</f>
      </c>
    </row>
    <row r="136">
      <c r="H136" s="11">
        <f>IF(G136=0,"",ROUND(F136/(G136/60),2))</f>
      </c>
    </row>
    <row r="137">
      <c r="H137" s="11">
        <f>IF(G137=0,"",ROUND(F137/(G137/60),2))</f>
      </c>
    </row>
    <row r="138">
      <c r="H138" s="11">
        <f>IF(G138=0,"",ROUND(F138/(G138/60),2))</f>
      </c>
    </row>
    <row r="139">
      <c r="H139" s="11">
        <f>IF(G139=0,"",ROUND(F139/(G139/60),2))</f>
      </c>
    </row>
    <row r="140">
      <c r="H140" s="11">
        <f>IF(G140=0,"",ROUND(F140/(G140/60),2))</f>
      </c>
    </row>
    <row r="141">
      <c r="H141" s="11">
        <f>IF(G141=0,"",ROUND(F141/(G141/60),2))</f>
      </c>
    </row>
    <row r="142">
      <c r="H142" s="11">
        <f>IF(G142=0,"",ROUND(F142/(G142/60),2))</f>
      </c>
    </row>
    <row r="143">
      <c r="H143" s="11">
        <f>IF(G143=0,"",ROUND(F143/(G143/60),2))</f>
      </c>
    </row>
    <row r="144">
      <c r="H144" s="11">
        <f>IF(G144=0,"",ROUND(F144/(G144/60),2))</f>
      </c>
    </row>
    <row r="145">
      <c r="H145" s="11">
        <f>IF(G145=0,"",ROUND(F145/(G145/60),2))</f>
      </c>
    </row>
    <row r="146">
      <c r="H146" s="11">
        <f>IF(G146=0,"",ROUND(F146/(G146/60),2))</f>
      </c>
    </row>
    <row r="147">
      <c r="H147" s="11">
        <f>IF(G147=0,"",ROUND(F147/(G147/60),2))</f>
      </c>
    </row>
    <row r="148">
      <c r="H148" s="11">
        <f>IF(G148=0,"",ROUND(F148/(G148/60),2))</f>
      </c>
    </row>
    <row r="149">
      <c r="H149" s="11">
        <f>IF(G149=0,"",ROUND(F149/(G149/60),2))</f>
      </c>
    </row>
    <row r="150">
      <c r="H150" s="11">
        <f>IF(G150=0,"",ROUND(F150/(G150/60),2))</f>
      </c>
    </row>
    <row r="151">
      <c r="H151" s="11">
        <f>IF(G151=0,"",ROUND(F151/(G151/60),2))</f>
      </c>
    </row>
    <row r="152">
      <c r="H152" s="11">
        <f>IF(G152=0,"",ROUND(F152/(G152/60),2))</f>
      </c>
    </row>
    <row r="153">
      <c r="H153" s="11">
        <f>IF(G153=0,"",ROUND(F153/(G153/60),2))</f>
      </c>
    </row>
    <row r="154">
      <c r="H154" s="11">
        <f>IF(G154=0,"",ROUND(F154/(G154/60),2))</f>
      </c>
    </row>
    <row r="155">
      <c r="H155" s="11">
        <f>IF(G155=0,"",ROUND(F155/(G155/60),2))</f>
      </c>
    </row>
    <row r="156">
      <c r="H156" s="11">
        <f>IF(G156=0,"",ROUND(F156/(G156/60),2))</f>
      </c>
    </row>
    <row r="157">
      <c r="H157" s="11">
        <f>IF(G157=0,"",ROUND(F157/(G157/60),2))</f>
      </c>
    </row>
    <row r="158">
      <c r="H158" s="11">
        <f>IF(G158=0,"",ROUND(F158/(G158/60),2))</f>
      </c>
    </row>
    <row r="159">
      <c r="H159" s="11">
        <f>IF(G159=0,"",ROUND(F159/(G159/60),2))</f>
      </c>
    </row>
    <row r="160">
      <c r="H160" s="11">
        <f>IF(G160=0,"",ROUND(F160/(G160/60),2))</f>
      </c>
    </row>
    <row r="161">
      <c r="H161" s="11">
        <f>IF(G161=0,"",ROUND(F161/(G161/60),2))</f>
      </c>
    </row>
    <row r="162">
      <c r="H162" s="11">
        <f>IF(G162=0,"",ROUND(F162/(G162/60),2))</f>
      </c>
    </row>
    <row r="163">
      <c r="H163" s="11">
        <f>IF(G163=0,"",ROUND(F163/(G163/60),2))</f>
      </c>
    </row>
    <row r="164">
      <c r="H164" s="11">
        <f>IF(G164=0,"",ROUND(F164/(G164/60),2))</f>
      </c>
    </row>
    <row r="165">
      <c r="H165" s="11">
        <f>IF(G165=0,"",ROUND(F165/(G165/60),2))</f>
      </c>
    </row>
    <row r="166">
      <c r="H166" s="11">
        <f>IF(G166=0,"",ROUND(F166/(G166/60),2))</f>
      </c>
    </row>
    <row r="167">
      <c r="H167" s="11">
        <f>IF(G167=0,"",ROUND(F167/(G167/60),2))</f>
      </c>
    </row>
    <row r="168">
      <c r="H168" s="11">
        <f>IF(G168=0,"",ROUND(F168/(G168/60),2))</f>
      </c>
    </row>
    <row r="169">
      <c r="H169" s="11">
        <f>IF(G169=0,"",ROUND(F169/(G169/60),2))</f>
      </c>
    </row>
    <row r="170">
      <c r="H170" s="11">
        <f>IF(G170=0,"",ROUND(F170/(G170/60),2))</f>
      </c>
    </row>
    <row r="171">
      <c r="H171" s="11">
        <f>IF(G171=0,"",ROUND(F171/(G171/60),2))</f>
      </c>
    </row>
    <row r="172">
      <c r="H172" s="11">
        <f>IF(G172=0,"",ROUND(F172/(G172/60),2))</f>
      </c>
    </row>
    <row r="173">
      <c r="H173" s="11">
        <f>IF(G173=0,"",ROUND(F173/(G173/60),2))</f>
      </c>
    </row>
    <row r="174">
      <c r="H174" s="11">
        <f>IF(G174=0,"",ROUND(F174/(G174/60),2))</f>
      </c>
    </row>
    <row r="175">
      <c r="H175" s="11">
        <f>IF(G175=0,"",ROUND(F175/(G175/60),2))</f>
      </c>
    </row>
    <row r="176">
      <c r="H176" s="11">
        <f>IF(G176=0,"",ROUND(F176/(G176/60),2))</f>
      </c>
    </row>
    <row r="177">
      <c r="H177" s="11">
        <f>IF(G177=0,"",ROUND(F177/(G177/60),2))</f>
      </c>
    </row>
    <row r="178">
      <c r="H178" s="11">
        <f>IF(G178=0,"",ROUND(F178/(G178/60),2))</f>
      </c>
    </row>
    <row r="179">
      <c r="H179" s="11">
        <f>IF(G179=0,"",ROUND(F179/(G179/60),2))</f>
      </c>
    </row>
    <row r="180">
      <c r="H180" s="11">
        <f>IF(G180=0,"",ROUND(F180/(G180/60),2))</f>
      </c>
    </row>
    <row r="181">
      <c r="H181" s="11">
        <f>IF(G181=0,"",ROUND(F181/(G181/60),2))</f>
      </c>
    </row>
    <row r="182">
      <c r="H182" s="11">
        <f>IF(G182=0,"",ROUND(F182/(G182/60),2))</f>
      </c>
    </row>
    <row r="183">
      <c r="H183" s="11">
        <f>IF(G183=0,"",ROUND(F183/(G183/60),2))</f>
      </c>
    </row>
    <row r="184">
      <c r="H184" s="11">
        <f>IF(G184=0,"",ROUND(F184/(G184/60),2))</f>
      </c>
    </row>
    <row r="185">
      <c r="H185" s="11">
        <f>IF(G185=0,"",ROUND(F185/(G185/60),2))</f>
      </c>
    </row>
    <row r="186">
      <c r="H186" s="11">
        <f>IF(G186=0,"",ROUND(F186/(G186/60),2))</f>
      </c>
    </row>
    <row r="187">
      <c r="H187" s="11">
        <f>IF(G187=0,"",ROUND(F187/(G187/60),2))</f>
      </c>
    </row>
    <row r="188">
      <c r="H188" s="11">
        <f>IF(G188=0,"",ROUND(F188/(G188/60),2))</f>
      </c>
    </row>
    <row r="189">
      <c r="H189" s="11">
        <f>IF(G189=0,"",ROUND(F189/(G189/60),2))</f>
      </c>
    </row>
    <row r="190">
      <c r="H190" s="11">
        <f>IF(G190=0,"",ROUND(F190/(G190/60),2))</f>
      </c>
    </row>
    <row r="191">
      <c r="H191" s="11">
        <f>IF(G191=0,"",ROUND(F191/(G191/60),2))</f>
      </c>
    </row>
    <row r="192">
      <c r="H192" s="11">
        <f>IF(G192=0,"",ROUND(F192/(G192/60),2))</f>
      </c>
    </row>
    <row r="193">
      <c r="H193" s="11">
        <f>IF(G193=0,"",ROUND(F193/(G193/60),2))</f>
      </c>
    </row>
    <row r="194">
      <c r="H194" s="11">
        <f>IF(G194=0,"",ROUND(F194/(G194/60),2))</f>
      </c>
    </row>
    <row r="195">
      <c r="H195" s="11">
        <f>IF(G195=0,"",ROUND(F195/(G195/60),2))</f>
      </c>
    </row>
    <row r="196">
      <c r="H196" s="11">
        <f>IF(G196=0,"",ROUND(F196/(G196/60),2))</f>
      </c>
    </row>
    <row r="197">
      <c r="H197" s="11">
        <f>IF(G197=0,"",ROUND(F197/(G197/60),2))</f>
      </c>
    </row>
    <row r="198">
      <c r="H198" s="11">
        <f>IF(G198=0,"",ROUND(F198/(G198/60),2))</f>
      </c>
    </row>
    <row r="199">
      <c r="H199" s="11">
        <f>IF(G199=0,"",ROUND(F199/(G199/60),2))</f>
      </c>
    </row>
    <row r="200">
      <c r="H200" s="11">
        <f>IF(G200=0,"",ROUND(F200/(G200/60),2))</f>
      </c>
    </row>
    <row r="201">
      <c r="H201" s="11">
        <f>IF(G201=0,"",ROUND(F201/(G201/60),2))</f>
      </c>
    </row>
    <row r="202">
      <c r="H202" s="11">
        <f>IF(G202=0,"",ROUND(F202/(G202/60),2))</f>
      </c>
    </row>
    <row r="203">
      <c r="H203" s="11">
        <f>IF(G203=0,"",ROUND(F203/(G203/60),2))</f>
      </c>
    </row>
    <row r="204">
      <c r="H204" s="11">
        <f>IF(G204=0,"",ROUND(F204/(G204/60),2))</f>
      </c>
    </row>
    <row r="205">
      <c r="H205" s="11">
        <f>IF(G205=0,"",ROUND(F205/(G205/60),2))</f>
      </c>
    </row>
    <row r="206">
      <c r="H206" s="11">
        <f>IF(G206=0,"",ROUND(F206/(G206/60),2))</f>
      </c>
    </row>
    <row r="207">
      <c r="H207" s="11">
        <f>IF(G207=0,"",ROUND(F207/(G207/60),2))</f>
      </c>
    </row>
    <row r="208">
      <c r="H208" s="11">
        <f>IF(G208=0,"",ROUND(F208/(G208/60),2))</f>
      </c>
    </row>
    <row r="209">
      <c r="H209" s="11">
        <f>IF(G209=0,"",ROUND(F209/(G209/60),2))</f>
      </c>
    </row>
    <row r="210">
      <c r="H210" s="11">
        <f>IF(G210=0,"",ROUND(F210/(G210/60),2))</f>
      </c>
    </row>
    <row r="211">
      <c r="H211" s="11">
        <f>IF(G211=0,"",ROUND(F211/(G211/60),2))</f>
      </c>
    </row>
    <row r="212">
      <c r="H212" s="11">
        <f>IF(G212=0,"",ROUND(F212/(G212/60),2))</f>
      </c>
    </row>
    <row r="213">
      <c r="H213" s="11">
        <f>IF(G213=0,"",ROUND(F213/(G213/60),2))</f>
      </c>
    </row>
    <row r="214">
      <c r="H214" s="11">
        <f>IF(G214=0,"",ROUND(F214/(G214/60),2))</f>
      </c>
    </row>
    <row r="215">
      <c r="H215" s="11">
        <f>IF(G215=0,"",ROUND(F215/(G215/60),2))</f>
      </c>
    </row>
    <row r="216">
      <c r="H216" s="11">
        <f>IF(G216=0,"",ROUND(F216/(G216/60),2))</f>
      </c>
    </row>
    <row r="217">
      <c r="H217" s="11">
        <f>IF(G217=0,"",ROUND(F217/(G217/60),2))</f>
      </c>
    </row>
    <row r="218">
      <c r="H218" s="11">
        <f>IF(G218=0,"",ROUND(F218/(G218/60),2))</f>
      </c>
    </row>
    <row r="219">
      <c r="H219" s="11">
        <f>IF(G219=0,"",ROUND(F219/(G219/60),2))</f>
      </c>
    </row>
    <row r="220">
      <c r="H220" s="11">
        <f>IF(G220=0,"",ROUND(F220/(G220/60),2))</f>
      </c>
    </row>
    <row r="221">
      <c r="H221" s="11">
        <f>IF(G221=0,"",ROUND(F221/(G221/60),2))</f>
      </c>
    </row>
    <row r="222">
      <c r="H222" s="11">
        <f>IF(G222=0,"",ROUND(F222/(G222/60),2))</f>
      </c>
    </row>
    <row r="223">
      <c r="H223" s="11">
        <f>IF(G223=0,"",ROUND(F223/(G223/60),2))</f>
      </c>
    </row>
    <row r="224">
      <c r="H224" s="11">
        <f>IF(G224=0,"",ROUND(F224/(G224/60),2))</f>
      </c>
    </row>
    <row r="225">
      <c r="H225" s="11">
        <f>IF(G225=0,"",ROUND(F225/(G225/60),2))</f>
      </c>
    </row>
    <row r="226">
      <c r="H226" s="11">
        <f>IF(G226=0,"",ROUND(F226/(G226/60),2))</f>
      </c>
    </row>
    <row r="227">
      <c r="H227" s="11">
        <f>IF(G227=0,"",ROUND(F227/(G227/60),2))</f>
      </c>
    </row>
    <row r="228">
      <c r="H228" s="11">
        <f>IF(G228=0,"",ROUND(F228/(G228/60),2))</f>
      </c>
    </row>
    <row r="229">
      <c r="H229" s="11">
        <f>IF(G229=0,"",ROUND(F229/(G229/60),2))</f>
      </c>
    </row>
    <row r="230">
      <c r="H230" s="11">
        <f>IF(G230=0,"",ROUND(F230/(G230/60),2))</f>
      </c>
    </row>
    <row r="231">
      <c r="H231" s="11">
        <f>IF(G231=0,"",ROUND(F231/(G231/60),2))</f>
      </c>
    </row>
    <row r="232">
      <c r="H232" s="11">
        <f>IF(G232=0,"",ROUND(F232/(G232/60),2))</f>
      </c>
    </row>
    <row r="233">
      <c r="H233" s="11">
        <f>IF(G233=0,"",ROUND(F233/(G233/60),2))</f>
      </c>
    </row>
    <row r="234">
      <c r="H234" s="11">
        <f>IF(G234=0,"",ROUND(F234/(G234/60),2))</f>
      </c>
    </row>
    <row r="235">
      <c r="H235" s="11">
        <f>IF(G235=0,"",ROUND(F235/(G235/60),2))</f>
      </c>
    </row>
    <row r="236">
      <c r="H236" s="11">
        <f>IF(G236=0,"",ROUND(F236/(G236/60),2))</f>
      </c>
    </row>
    <row r="237">
      <c r="H237" s="11">
        <f>IF(G237=0,"",ROUND(F237/(G237/60),2))</f>
      </c>
    </row>
    <row r="238">
      <c r="H238" s="11">
        <f>IF(G238=0,"",ROUND(F238/(G238/60),2))</f>
      </c>
    </row>
    <row r="239">
      <c r="H239" s="11">
        <f>IF(G239=0,"",ROUND(F239/(G239/60),2))</f>
      </c>
    </row>
    <row r="240">
      <c r="H240" s="11">
        <f>IF(G240=0,"",ROUND(F240/(G240/60),2))</f>
      </c>
    </row>
    <row r="241">
      <c r="H241" s="11">
        <f>IF(G241=0,"",ROUND(F241/(G241/60),2))</f>
      </c>
    </row>
    <row r="242">
      <c r="H242" s="11">
        <f>IF(G242=0,"",ROUND(F242/(G242/60),2))</f>
      </c>
    </row>
    <row r="243">
      <c r="H243" s="11">
        <f>IF(G243=0,"",ROUND(F243/(G243/60),2))</f>
      </c>
    </row>
    <row r="244">
      <c r="H244" s="11">
        <f>IF(G244=0,"",ROUND(F244/(G244/60),2))</f>
      </c>
    </row>
    <row r="245">
      <c r="H245" s="11">
        <f>IF(G245=0,"",ROUND(F245/(G245/60),2))</f>
      </c>
    </row>
    <row r="246">
      <c r="H246" s="11">
        <f>IF(G246=0,"",ROUND(F246/(G246/60),2))</f>
      </c>
    </row>
    <row r="247">
      <c r="H247" s="11">
        <f>IF(G247=0,"",ROUND(F247/(G247/60),2))</f>
      </c>
    </row>
    <row r="248">
      <c r="H248" s="11">
        <f>IF(G248=0,"",ROUND(F248/(G248/60),2))</f>
      </c>
    </row>
    <row r="249">
      <c r="H249" s="11">
        <f>IF(G249=0,"",ROUND(F249/(G249/60),2))</f>
      </c>
    </row>
    <row r="250">
      <c r="H250" s="11">
        <f>IF(G250=0,"",ROUND(F250/(G250/60),2))</f>
      </c>
    </row>
    <row r="251">
      <c r="H251" s="11">
        <f>IF(G251=0,"",ROUND(F251/(G251/60),2))</f>
      </c>
    </row>
    <row r="252">
      <c r="H252" s="11">
        <f>IF(G252=0,"",ROUND(F252/(G252/60),2))</f>
      </c>
    </row>
    <row r="253">
      <c r="H253" s="11">
        <f>IF(G253=0,"",ROUND(F253/(G253/60),2))</f>
      </c>
    </row>
    <row r="254">
      <c r="H254" s="11">
        <f>IF(G254=0,"",ROUND(F254/(G254/60),2))</f>
      </c>
    </row>
    <row r="255">
      <c r="H255" s="11">
        <f>IF(G255=0,"",ROUND(F255/(G255/60),2))</f>
      </c>
    </row>
    <row r="256">
      <c r="H256" s="11">
        <f>IF(G256=0,"",ROUND(F256/(G256/60),2))</f>
      </c>
    </row>
    <row r="257">
      <c r="H257" s="11">
        <f>IF(G257=0,"",ROUND(F257/(G257/60),2))</f>
      </c>
    </row>
    <row r="258">
      <c r="H258" s="11">
        <f>IF(G258=0,"",ROUND(F258/(G258/60),2))</f>
      </c>
    </row>
    <row r="259">
      <c r="H259" s="11">
        <f>IF(G259=0,"",ROUND(F259/(G259/60),2))</f>
      </c>
    </row>
    <row r="260">
      <c r="H260" s="11">
        <f>IF(G260=0,"",ROUND(F260/(G260/60),2))</f>
      </c>
    </row>
    <row r="261">
      <c r="H261" s="11">
        <f>IF(G261=0,"",ROUND(F261/(G261/60),2))</f>
      </c>
    </row>
    <row r="262">
      <c r="H262" s="11">
        <f>IF(G262=0,"",ROUND(F262/(G262/60),2))</f>
      </c>
    </row>
    <row r="263">
      <c r="H263" s="11">
        <f>IF(G263=0,"",ROUND(F263/(G263/60),2))</f>
      </c>
    </row>
    <row r="264">
      <c r="H264" s="11">
        <f>IF(G264=0,"",ROUND(F264/(G264/60),2))</f>
      </c>
    </row>
    <row r="265">
      <c r="H265" s="11">
        <f>IF(G265=0,"",ROUND(F265/(G265/60),2))</f>
      </c>
    </row>
    <row r="266">
      <c r="H266" s="11">
        <f>IF(G266=0,"",ROUND(F266/(G266/60),2))</f>
      </c>
    </row>
    <row r="267">
      <c r="H267" s="11">
        <f>IF(G267=0,"",ROUND(F267/(G267/60),2))</f>
      </c>
    </row>
    <row r="268">
      <c r="H268" s="11">
        <f>IF(G268=0,"",ROUND(F268/(G268/60),2))</f>
      </c>
    </row>
    <row r="269">
      <c r="H269" s="11">
        <f>IF(G269=0,"",ROUND(F269/(G269/60),2))</f>
      </c>
    </row>
    <row r="270">
      <c r="H270" s="11">
        <f>IF(G270=0,"",ROUND(F270/(G270/60),2))</f>
      </c>
    </row>
    <row r="271">
      <c r="H271" s="11">
        <f>IF(G271=0,"",ROUND(F271/(G271/60),2))</f>
      </c>
    </row>
    <row r="272">
      <c r="H272" s="11">
        <f>IF(G272=0,"",ROUND(F272/(G272/60),2))</f>
      </c>
    </row>
    <row r="273">
      <c r="H273" s="11">
        <f>IF(G273=0,"",ROUND(F273/(G273/60),2))</f>
      </c>
    </row>
    <row r="274">
      <c r="H274" s="11">
        <f>IF(G274=0,"",ROUND(F274/(G274/60),2))</f>
      </c>
    </row>
    <row r="275">
      <c r="H275" s="11">
        <f>IF(G275=0,"",ROUND(F275/(G275/60),2))</f>
      </c>
    </row>
    <row r="276">
      <c r="H276" s="11">
        <f>IF(G276=0,"",ROUND(F276/(G276/60),2))</f>
      </c>
    </row>
    <row r="277">
      <c r="H277" s="11">
        <f>IF(G277=0,"",ROUND(F277/(G277/60),2))</f>
      </c>
    </row>
    <row r="278">
      <c r="H278" s="11">
        <f>IF(G278=0,"",ROUND(F278/(G278/60),2))</f>
      </c>
    </row>
    <row r="279">
      <c r="H279" s="11">
        <f>IF(G279=0,"",ROUND(F279/(G279/60),2))</f>
      </c>
    </row>
    <row r="280">
      <c r="H280" s="11">
        <f>IF(G280=0,"",ROUND(F280/(G280/60),2))</f>
      </c>
    </row>
    <row r="281">
      <c r="H281" s="11">
        <f>IF(G281=0,"",ROUND(F281/(G281/60),2))</f>
      </c>
    </row>
    <row r="282">
      <c r="H282" s="11">
        <f>IF(G282=0,"",ROUND(F282/(G282/60),2))</f>
      </c>
    </row>
    <row r="283">
      <c r="H283" s="11">
        <f>IF(G283=0,"",ROUND(F283/(G283/60),2))</f>
      </c>
    </row>
    <row r="284">
      <c r="H284" s="11">
        <f>IF(G284=0,"",ROUND(F284/(G284/60),2))</f>
      </c>
    </row>
    <row r="285">
      <c r="H285" s="11">
        <f>IF(G285=0,"",ROUND(F285/(G285/60),2))</f>
      </c>
    </row>
    <row r="286">
      <c r="H286" s="11">
        <f>IF(G286=0,"",ROUND(F286/(G286/60),2))</f>
      </c>
    </row>
    <row r="287">
      <c r="H287" s="11">
        <f>IF(G287=0,"",ROUND(F287/(G287/60),2))</f>
      </c>
    </row>
    <row r="288">
      <c r="H288" s="11">
        <f>IF(G288=0,"",ROUND(F288/(G288/60),2))</f>
      </c>
    </row>
    <row r="289">
      <c r="H289" s="11">
        <f>IF(G289=0,"",ROUND(F289/(G289/60),2))</f>
      </c>
    </row>
    <row r="290">
      <c r="H290" s="11">
        <f>IF(G290=0,"",ROUND(F290/(G290/60),2))</f>
      </c>
    </row>
    <row r="291">
      <c r="H291" s="11">
        <f>IF(G291=0,"",ROUND(F291/(G291/60),2))</f>
      </c>
    </row>
    <row r="292">
      <c r="H292" s="11">
        <f>IF(G292=0,"",ROUND(F292/(G292/60),2))</f>
      </c>
    </row>
    <row r="293">
      <c r="H293" s="11">
        <f>IF(G293=0,"",ROUND(F293/(G293/60),2))</f>
      </c>
    </row>
    <row r="294">
      <c r="H294" s="11">
        <f>IF(G294=0,"",ROUND(F294/(G294/60),2))</f>
      </c>
    </row>
    <row r="295">
      <c r="H295" s="11">
        <f>IF(G295=0,"",ROUND(F295/(G295/60),2))</f>
      </c>
    </row>
    <row r="296">
      <c r="H296" s="11">
        <f>IF(G296=0,"",ROUND(F296/(G296/60),2))</f>
      </c>
    </row>
    <row r="297">
      <c r="H297" s="11">
        <f>IF(G297=0,"",ROUND(F297/(G297/60),2))</f>
      </c>
    </row>
    <row r="298">
      <c r="H298" s="11">
        <f>IF(G298=0,"",ROUND(F298/(G298/60),2))</f>
      </c>
    </row>
    <row r="299">
      <c r="H299" s="11">
        <f>IF(G299=0,"",ROUND(F299/(G299/60),2))</f>
      </c>
    </row>
    <row r="300">
      <c r="H300" s="11">
        <f>IF(G300=0,"",ROUND(F300/(G300/60),2))</f>
      </c>
    </row>
    <row r="301">
      <c r="H301" s="11">
        <f>IF(G301=0,"",ROUND(F301/(G301/60),2))</f>
      </c>
    </row>
    <row r="302">
      <c r="H302" s="11">
        <f>IF(G302=0,"",ROUND(F302/(G302/60),2))</f>
      </c>
    </row>
    <row r="303">
      <c r="H303" s="11">
        <f>IF(G303=0,"",ROUND(F303/(G303/60),2))</f>
      </c>
    </row>
    <row r="304">
      <c r="H304" s="11">
        <f>IF(G304=0,"",ROUND(F304/(G304/60),2))</f>
      </c>
    </row>
    <row r="305">
      <c r="H305" s="11">
        <f>IF(G305=0,"",ROUND(F305/(G305/60),2))</f>
      </c>
    </row>
    <row r="306">
      <c r="H306" s="11">
        <f>IF(G306=0,"",ROUND(F306/(G306/60),2))</f>
      </c>
    </row>
    <row r="307">
      <c r="H307" s="11">
        <f>IF(G307=0,"",ROUND(F307/(G307/60),2))</f>
      </c>
    </row>
    <row r="308">
      <c r="H308" s="11">
        <f>IF(G308=0,"",ROUND(F308/(G308/60),2))</f>
      </c>
    </row>
    <row r="309">
      <c r="H309" s="11">
        <f>IF(G309=0,"",ROUND(F309/(G309/60),2))</f>
      </c>
    </row>
    <row r="310">
      <c r="H310" s="11">
        <f>IF(G310=0,"",ROUND(F310/(G310/60),2))</f>
      </c>
    </row>
    <row r="311">
      <c r="H311" s="11">
        <f>IF(G311=0,"",ROUND(F311/(G311/60),2))</f>
      </c>
    </row>
    <row r="312">
      <c r="H312" s="11">
        <f>IF(G312=0,"",ROUND(F312/(G312/60),2))</f>
      </c>
    </row>
    <row r="313">
      <c r="H313" s="11">
        <f>IF(G313=0,"",ROUND(F313/(G313/60),2))</f>
      </c>
    </row>
    <row r="314">
      <c r="H314" s="11">
        <f>IF(G314=0,"",ROUND(F314/(G314/60),2))</f>
      </c>
    </row>
    <row r="315">
      <c r="H315" s="11">
        <f>IF(G315=0,"",ROUND(F315/(G315/60),2))</f>
      </c>
    </row>
    <row r="316">
      <c r="H316" s="11">
        <f>IF(G316=0,"",ROUND(F316/(G316/60),2))</f>
      </c>
    </row>
    <row r="317">
      <c r="H317" s="11">
        <f>IF(G317=0,"",ROUND(F317/(G317/60),2))</f>
      </c>
    </row>
    <row r="318">
      <c r="H318" s="11">
        <f>IF(G318=0,"",ROUND(F318/(G318/60),2))</f>
      </c>
    </row>
    <row r="319">
      <c r="H319" s="11">
        <f>IF(G319=0,"",ROUND(F319/(G319/60),2))</f>
      </c>
    </row>
    <row r="320">
      <c r="H320" s="11">
        <f>IF(G320=0,"",ROUND(F320/(G320/60),2))</f>
      </c>
    </row>
    <row r="321">
      <c r="H321" s="11">
        <f>IF(G321=0,"",ROUND(F321/(G321/60),2))</f>
      </c>
    </row>
    <row r="322">
      <c r="H322" s="11">
        <f>IF(G322=0,"",ROUND(F322/(G322/60),2))</f>
      </c>
    </row>
    <row r="323">
      <c r="H323" s="11">
        <f>IF(G323=0,"",ROUND(F323/(G323/60),2))</f>
      </c>
    </row>
    <row r="324">
      <c r="H324" s="11">
        <f>IF(G324=0,"",ROUND(F324/(G324/60),2))</f>
      </c>
    </row>
    <row r="325">
      <c r="H325" s="11">
        <f>IF(G325=0,"",ROUND(F325/(G325/60),2))</f>
      </c>
    </row>
    <row r="326">
      <c r="H326" s="11">
        <f>IF(G326=0,"",ROUND(F326/(G326/60),2))</f>
      </c>
    </row>
    <row r="327">
      <c r="H327" s="11">
        <f>IF(G327=0,"",ROUND(F327/(G327/60),2))</f>
      </c>
    </row>
    <row r="328">
      <c r="H328" s="11">
        <f>IF(G328=0,"",ROUND(F328/(G328/60),2))</f>
      </c>
    </row>
    <row r="329">
      <c r="H329" s="11">
        <f>IF(G329=0,"",ROUND(F329/(G329/60),2))</f>
      </c>
    </row>
    <row r="330">
      <c r="H330" s="11">
        <f>IF(G330=0,"",ROUND(F330/(G330/60),2))</f>
      </c>
    </row>
    <row r="331">
      <c r="H331" s="11">
        <f>IF(G331=0,"",ROUND(F331/(G331/60),2))</f>
      </c>
    </row>
    <row r="332">
      <c r="H332" s="11">
        <f>IF(G332=0,"",ROUND(F332/(G332/60),2))</f>
      </c>
    </row>
    <row r="333">
      <c r="H333" s="11">
        <f>IF(G333=0,"",ROUND(F333/(G333/60),2))</f>
      </c>
    </row>
    <row r="334">
      <c r="H334" s="11">
        <f>IF(G334=0,"",ROUND(F334/(G334/60),2))</f>
      </c>
    </row>
    <row r="335">
      <c r="H335" s="11">
        <f>IF(G335=0,"",ROUND(F335/(G335/60),2))</f>
      </c>
    </row>
    <row r="336">
      <c r="H336" s="11">
        <f>IF(G336=0,"",ROUND(F336/(G336/60),2))</f>
      </c>
    </row>
    <row r="337">
      <c r="H337" s="11">
        <f>IF(G337=0,"",ROUND(F337/(G337/60),2))</f>
      </c>
    </row>
    <row r="338">
      <c r="H338" s="11">
        <f>IF(G338=0,"",ROUND(F338/(G338/60),2))</f>
      </c>
    </row>
    <row r="339">
      <c r="H339" s="11">
        <f>IF(G339=0,"",ROUND(F339/(G339/60),2))</f>
      </c>
    </row>
    <row r="340">
      <c r="H340" s="11">
        <f>IF(G340=0,"",ROUND(F340/(G340/60),2))</f>
      </c>
    </row>
    <row r="341">
      <c r="H341" s="11">
        <f>IF(G341=0,"",ROUND(F341/(G341/60),2))</f>
      </c>
    </row>
    <row r="342">
      <c r="H342" s="11">
        <f>IF(G342=0,"",ROUND(F342/(G342/60),2))</f>
      </c>
    </row>
    <row r="343">
      <c r="H343" s="11">
        <f>IF(G343=0,"",ROUND(F343/(G343/60),2))</f>
      </c>
    </row>
    <row r="344">
      <c r="H344" s="11">
        <f>IF(G344=0,"",ROUND(F344/(G344/60),2))</f>
      </c>
    </row>
    <row r="345">
      <c r="H345" s="11">
        <f>IF(G345=0,"",ROUND(F345/(G345/60),2))</f>
      </c>
    </row>
    <row r="346">
      <c r="H346" s="11">
        <f>IF(G346=0,"",ROUND(F346/(G346/60),2))</f>
      </c>
    </row>
    <row r="347">
      <c r="H347" s="11">
        <f>IF(G347=0,"",ROUND(F347/(G347/60),2))</f>
      </c>
    </row>
    <row r="348">
      <c r="H348" s="11">
        <f>IF(G348=0,"",ROUND(F348/(G348/60),2))</f>
      </c>
    </row>
    <row r="349">
      <c r="H349" s="11">
        <f>IF(G349=0,"",ROUND(F349/(G349/60),2))</f>
      </c>
    </row>
    <row r="350">
      <c r="H350" s="11">
        <f>IF(G350=0,"",ROUND(F350/(G350/60),2))</f>
      </c>
    </row>
    <row r="351">
      <c r="H351" s="11">
        <f>IF(G351=0,"",ROUND(F351/(G351/60),2))</f>
      </c>
    </row>
    <row r="352">
      <c r="H352" s="11">
        <f>IF(G352=0,"",ROUND(F352/(G352/60),2))</f>
      </c>
    </row>
    <row r="353">
      <c r="H353" s="11">
        <f>IF(G353=0,"",ROUND(F353/(G353/60),2))</f>
      </c>
    </row>
    <row r="354">
      <c r="H354" s="11">
        <f>IF(G354=0,"",ROUND(F354/(G354/60),2))</f>
      </c>
    </row>
    <row r="355">
      <c r="H355" s="11">
        <f>IF(G355=0,"",ROUND(F355/(G355/60),2))</f>
      </c>
    </row>
    <row r="356">
      <c r="H356" s="11">
        <f>IF(G356=0,"",ROUND(F356/(G356/60),2))</f>
      </c>
    </row>
    <row r="357">
      <c r="H357" s="11">
        <f>IF(G357=0,"",ROUND(F357/(G357/60),2))</f>
      </c>
    </row>
    <row r="358">
      <c r="H358" s="11">
        <f>IF(G358=0,"",ROUND(F358/(G358/60),2))</f>
      </c>
    </row>
    <row r="359">
      <c r="H359" s="11">
        <f>IF(G359=0,"",ROUND(F359/(G359/60),2))</f>
      </c>
    </row>
    <row r="360">
      <c r="H360" s="11">
        <f>IF(G360=0,"",ROUND(F360/(G360/60),2))</f>
      </c>
    </row>
    <row r="361">
      <c r="H361" s="11">
        <f>IF(G361=0,"",ROUND(F361/(G361/60),2))</f>
      </c>
    </row>
    <row r="362">
      <c r="H362" s="11">
        <f>IF(G362=0,"",ROUND(F362/(G362/60),2))</f>
      </c>
    </row>
    <row r="363">
      <c r="H363" s="11">
        <f>IF(G363=0,"",ROUND(F363/(G363/60),2))</f>
      </c>
    </row>
    <row r="364">
      <c r="H364" s="11">
        <f>IF(G364=0,"",ROUND(F364/(G364/60),2))</f>
      </c>
    </row>
    <row r="365">
      <c r="H365" s="11">
        <f>IF(G365=0,"",ROUND(F365/(G365/60),2))</f>
      </c>
    </row>
    <row r="366">
      <c r="H366" s="11">
        <f>IF(G366=0,"",ROUND(F366/(G366/60),2))</f>
      </c>
    </row>
    <row r="367">
      <c r="H367" s="11">
        <f>IF(G367=0,"",ROUND(F367/(G367/60),2))</f>
      </c>
    </row>
    <row r="368">
      <c r="H368" s="11">
        <f>IF(G368=0,"",ROUND(F368/(G368/60),2))</f>
      </c>
    </row>
    <row r="369">
      <c r="H369" s="11">
        <f>IF(G369=0,"",ROUND(F369/(G369/60),2))</f>
      </c>
    </row>
    <row r="370">
      <c r="H370" s="11">
        <f>IF(G370=0,"",ROUND(F370/(G370/60),2))</f>
      </c>
    </row>
    <row r="371">
      <c r="H371" s="11">
        <f>IF(G371=0,"",ROUND(F371/(G371/60),2))</f>
      </c>
    </row>
    <row r="372">
      <c r="H372" s="11">
        <f>IF(G372=0,"",ROUND(F372/(G372/60),2))</f>
      </c>
    </row>
    <row r="373">
      <c r="H373" s="11">
        <f>IF(G373=0,"",ROUND(F373/(G373/60),2))</f>
      </c>
    </row>
    <row r="374">
      <c r="H374" s="11">
        <f>IF(G374=0,"",ROUND(F374/(G374/60),2))</f>
      </c>
    </row>
    <row r="375">
      <c r="H375" s="11">
        <f>IF(G375=0,"",ROUND(F375/(G375/60),2))</f>
      </c>
    </row>
    <row r="376">
      <c r="H376" s="11">
        <f>IF(G376=0,"",ROUND(F376/(G376/60),2))</f>
      </c>
    </row>
    <row r="377">
      <c r="H377" s="11">
        <f>IF(G377=0,"",ROUND(F377/(G377/60),2))</f>
      </c>
    </row>
    <row r="378">
      <c r="H378" s="11">
        <f>IF(G378=0,"",ROUND(F378/(G378/60),2))</f>
      </c>
    </row>
    <row r="379">
      <c r="H379" s="11">
        <f>IF(G379=0,"",ROUND(F379/(G379/60),2))</f>
      </c>
    </row>
    <row r="380">
      <c r="H380" s="11">
        <f>IF(G380=0,"",ROUND(F380/(G380/60),2))</f>
      </c>
    </row>
    <row r="381">
      <c r="H381" s="11">
        <f>IF(G381=0,"",ROUND(F381/(G381/60),2))</f>
      </c>
    </row>
    <row r="382">
      <c r="H382" s="11">
        <f>IF(G382=0,"",ROUND(F382/(G382/60),2))</f>
      </c>
    </row>
    <row r="383">
      <c r="H383" s="11">
        <f>IF(G383=0,"",ROUND(F383/(G383/60),2))</f>
      </c>
    </row>
    <row r="384">
      <c r="H384" s="11">
        <f>IF(G384=0,"",ROUND(F384/(G384/60),2))</f>
      </c>
    </row>
    <row r="385">
      <c r="H385" s="11">
        <f>IF(G385=0,"",ROUND(F385/(G385/60),2))</f>
      </c>
    </row>
    <row r="386">
      <c r="H386" s="11">
        <f>IF(G386=0,"",ROUND(F386/(G386/60),2))</f>
      </c>
    </row>
    <row r="387">
      <c r="H387" s="11">
        <f>IF(G387=0,"",ROUND(F387/(G387/60),2))</f>
      </c>
    </row>
    <row r="388">
      <c r="H388" s="11">
        <f>IF(G388=0,"",ROUND(F388/(G388/60),2))</f>
      </c>
    </row>
    <row r="389">
      <c r="H389" s="11">
        <f>IF(G389=0,"",ROUND(F389/(G389/60),2))</f>
      </c>
    </row>
    <row r="390">
      <c r="H390" s="11">
        <f>IF(G390=0,"",ROUND(F390/(G390/60),2))</f>
      </c>
    </row>
    <row r="391">
      <c r="H391" s="11">
        <f>IF(G391=0,"",ROUND(F391/(G391/60),2))</f>
      </c>
    </row>
    <row r="392">
      <c r="H392" s="11">
        <f>IF(G392=0,"",ROUND(F392/(G392/60),2))</f>
      </c>
    </row>
    <row r="393">
      <c r="H393" s="11">
        <f>IF(G393=0,"",ROUND(F393/(G393/60),2))</f>
      </c>
    </row>
    <row r="394">
      <c r="H394" s="11">
        <f>IF(G394=0,"",ROUND(F394/(G394/60),2))</f>
      </c>
    </row>
    <row r="395">
      <c r="H395" s="11">
        <f>IF(G395=0,"",ROUND(F395/(G395/60),2))</f>
      </c>
    </row>
    <row r="396">
      <c r="H396" s="11">
        <f>IF(G396=0,"",ROUND(F396/(G396/60),2))</f>
      </c>
    </row>
    <row r="397">
      <c r="H397" s="11">
        <f>IF(G397=0,"",ROUND(F397/(G397/60),2))</f>
      </c>
    </row>
    <row r="398">
      <c r="H398" s="11">
        <f>IF(G398=0,"",ROUND(F398/(G398/60),2))</f>
      </c>
    </row>
    <row r="399">
      <c r="H399" s="11">
        <f>IF(G399=0,"",ROUND(F399/(G399/60),2))</f>
      </c>
    </row>
    <row r="400">
      <c r="H400" s="11">
        <f>IF(G400=0,"",ROUND(F400/(G400/60),2))</f>
      </c>
    </row>
    <row r="401">
      <c r="H401" s="11">
        <f>IF(G401=0,"",ROUND(F401/(G401/60),2))</f>
      </c>
    </row>
    <row r="402">
      <c r="H402" s="11">
        <f>IF(G402=0,"",ROUND(F402/(G402/60),2))</f>
      </c>
    </row>
    <row r="403">
      <c r="H403" s="11">
        <f>IF(G403=0,"",ROUND(F403/(G403/60),2))</f>
      </c>
    </row>
    <row r="404">
      <c r="H404" s="11">
        <f>IF(G404=0,"",ROUND(F404/(G404/60),2))</f>
      </c>
    </row>
    <row r="405">
      <c r="H405" s="11">
        <f>IF(G405=0,"",ROUND(F405/(G405/60),2))</f>
      </c>
    </row>
    <row r="406">
      <c r="H406" s="11">
        <f>IF(G406=0,"",ROUND(F406/(G406/60),2))</f>
      </c>
    </row>
    <row r="407">
      <c r="H407" s="11">
        <f>IF(G407=0,"",ROUND(F407/(G407/60),2))</f>
      </c>
    </row>
    <row r="408">
      <c r="H408" s="11">
        <f>IF(G408=0,"",ROUND(F408/(G408/60),2))</f>
      </c>
    </row>
    <row r="409">
      <c r="H409" s="11">
        <f>IF(G409=0,"",ROUND(F409/(G409/60),2))</f>
      </c>
    </row>
    <row r="410">
      <c r="H410" s="11">
        <f>IF(G410=0,"",ROUND(F410/(G410/60),2))</f>
      </c>
    </row>
    <row r="411">
      <c r="H411" s="11">
        <f>IF(G411=0,"",ROUND(F411/(G411/60),2))</f>
      </c>
    </row>
    <row r="412">
      <c r="H412" s="11">
        <f>IF(G412=0,"",ROUND(F412/(G412/60),2))</f>
      </c>
    </row>
    <row r="413">
      <c r="H413" s="11">
        <f>IF(G413=0,"",ROUND(F413/(G413/60),2))</f>
      </c>
    </row>
    <row r="414">
      <c r="H414" s="11">
        <f>IF(G414=0,"",ROUND(F414/(G414/60),2))</f>
      </c>
    </row>
    <row r="415">
      <c r="H415" s="11">
        <f>IF(G415=0,"",ROUND(F415/(G415/60),2))</f>
      </c>
    </row>
    <row r="416">
      <c r="H416" s="11">
        <f>IF(G416=0,"",ROUND(F416/(G416/60),2))</f>
      </c>
    </row>
    <row r="417">
      <c r="H417" s="11">
        <f>IF(G417=0,"",ROUND(F417/(G417/60),2))</f>
      </c>
    </row>
    <row r="418">
      <c r="H418" s="11">
        <f>IF(G418=0,"",ROUND(F418/(G418/60),2))</f>
      </c>
    </row>
    <row r="419">
      <c r="H419" s="11">
        <f>IF(G419=0,"",ROUND(F419/(G419/60),2))</f>
      </c>
    </row>
    <row r="420">
      <c r="H420" s="11">
        <f>IF(G420=0,"",ROUND(F420/(G420/60),2))</f>
      </c>
    </row>
    <row r="421">
      <c r="H421" s="11">
        <f>IF(G421=0,"",ROUND(F421/(G421/60),2))</f>
      </c>
    </row>
    <row r="422">
      <c r="H422" s="11">
        <f>IF(G422=0,"",ROUND(F422/(G422/60),2))</f>
      </c>
    </row>
    <row r="423">
      <c r="H423" s="11">
        <f>IF(G423=0,"",ROUND(F423/(G423/60),2))</f>
      </c>
    </row>
    <row r="424">
      <c r="H424" s="11">
        <f>IF(G424=0,"",ROUND(F424/(G424/60),2))</f>
      </c>
    </row>
    <row r="425">
      <c r="H425" s="11">
        <f>IF(G425=0,"",ROUND(F425/(G425/60),2))</f>
      </c>
    </row>
    <row r="426">
      <c r="H426" s="11">
        <f>IF(G426=0,"",ROUND(F426/(G426/60),2))</f>
      </c>
    </row>
    <row r="427">
      <c r="H427" s="11">
        <f>IF(G427=0,"",ROUND(F427/(G427/60),2))</f>
      </c>
    </row>
    <row r="428">
      <c r="H428" s="11">
        <f>IF(G428=0,"",ROUND(F428/(G428/60),2))</f>
      </c>
    </row>
    <row r="429">
      <c r="H429" s="11">
        <f>IF(G429=0,"",ROUND(F429/(G429/60),2))</f>
      </c>
    </row>
    <row r="430">
      <c r="H430" s="11">
        <f>IF(G430=0,"",ROUND(F430/(G430/60),2))</f>
      </c>
    </row>
    <row r="431">
      <c r="H431" s="11">
        <f>IF(G431=0,"",ROUND(F431/(G431/60),2))</f>
      </c>
    </row>
    <row r="432">
      <c r="H432" s="11">
        <f>IF(G432=0,"",ROUND(F432/(G432/60),2))</f>
      </c>
    </row>
    <row r="433">
      <c r="H433" s="11">
        <f>IF(G433=0,"",ROUND(F433/(G433/60),2))</f>
      </c>
    </row>
    <row r="434">
      <c r="H434" s="11">
        <f>IF(G434=0,"",ROUND(F434/(G434/60),2))</f>
      </c>
    </row>
    <row r="435">
      <c r="H435" s="11">
        <f>IF(G435=0,"",ROUND(F435/(G435/60),2))</f>
      </c>
    </row>
    <row r="436">
      <c r="H436" s="11">
        <f>IF(G436=0,"",ROUND(F436/(G436/60),2))</f>
      </c>
    </row>
    <row r="437">
      <c r="H437" s="11">
        <f>IF(G437=0,"",ROUND(F437/(G437/60),2))</f>
      </c>
    </row>
    <row r="438">
      <c r="H438" s="11">
        <f>IF(G438=0,"",ROUND(F438/(G438/60),2))</f>
      </c>
    </row>
    <row r="439">
      <c r="H439" s="11">
        <f>IF(G439=0,"",ROUND(F439/(G439/60),2))</f>
      </c>
    </row>
    <row r="440">
      <c r="H440" s="11">
        <f>IF(G440=0,"",ROUND(F440/(G440/60),2))</f>
      </c>
    </row>
    <row r="441">
      <c r="H441" s="11">
        <f>IF(G441=0,"",ROUND(F441/(G441/60),2))</f>
      </c>
    </row>
    <row r="442">
      <c r="H442" s="11">
        <f>IF(G442=0,"",ROUND(F442/(G442/60),2))</f>
      </c>
    </row>
    <row r="443">
      <c r="H443" s="11">
        <f>IF(G443=0,"",ROUND(F443/(G443/60),2))</f>
      </c>
    </row>
    <row r="444">
      <c r="H444" s="11">
        <f>IF(G444=0,"",ROUND(F444/(G444/60),2))</f>
      </c>
    </row>
    <row r="445">
      <c r="H445" s="11">
        <f>IF(G445=0,"",ROUND(F445/(G445/60),2))</f>
      </c>
    </row>
    <row r="446">
      <c r="H446" s="11">
        <f>IF(G446=0,"",ROUND(F446/(G446/60),2))</f>
      </c>
    </row>
    <row r="447">
      <c r="H447" s="11">
        <f>IF(G447=0,"",ROUND(F447/(G447/60),2))</f>
      </c>
    </row>
    <row r="448">
      <c r="H448" s="11">
        <f>IF(G448=0,"",ROUND(F448/(G448/60),2))</f>
      </c>
    </row>
    <row r="449">
      <c r="H449" s="11">
        <f>IF(G449=0,"",ROUND(F449/(G449/60),2))</f>
      </c>
    </row>
    <row r="450">
      <c r="H450" s="11">
        <f>IF(G450=0,"",ROUND(F450/(G450/60),2))</f>
      </c>
    </row>
    <row r="451">
      <c r="H451" s="11">
        <f>IF(G451=0,"",ROUND(F451/(G451/60),2))</f>
      </c>
    </row>
    <row r="452">
      <c r="H452" s="11">
        <f>IF(G452=0,"",ROUND(F452/(G452/60),2))</f>
      </c>
    </row>
    <row r="453">
      <c r="H453" s="11">
        <f>IF(G453=0,"",ROUND(F453/(G453/60),2))</f>
      </c>
    </row>
    <row r="454">
      <c r="H454" s="11">
        <f>IF(G454=0,"",ROUND(F454/(G454/60),2))</f>
      </c>
    </row>
    <row r="455">
      <c r="H455" s="11">
        <f>IF(G455=0,"",ROUND(F455/(G455/60),2))</f>
      </c>
    </row>
    <row r="456">
      <c r="H456" s="11">
        <f>IF(G456=0,"",ROUND(F456/(G456/60),2))</f>
      </c>
    </row>
    <row r="457">
      <c r="H457" s="11">
        <f>IF(G457=0,"",ROUND(F457/(G457/60),2))</f>
      </c>
    </row>
    <row r="458">
      <c r="H458" s="11">
        <f>IF(G458=0,"",ROUND(F458/(G458/60),2))</f>
      </c>
    </row>
    <row r="459">
      <c r="H459" s="11">
        <f>IF(G459=0,"",ROUND(F459/(G459/60),2))</f>
      </c>
    </row>
    <row r="460">
      <c r="H460" s="11">
        <f>IF(G460=0,"",ROUND(F460/(G460/60),2))</f>
      </c>
    </row>
    <row r="461">
      <c r="H461" s="11">
        <f>IF(G461=0,"",ROUND(F461/(G461/60),2))</f>
      </c>
    </row>
    <row r="462">
      <c r="H462" s="11">
        <f>IF(G462=0,"",ROUND(F462/(G462/60),2))</f>
      </c>
    </row>
    <row r="463">
      <c r="H463" s="11">
        <f>IF(G463=0,"",ROUND(F463/(G463/60),2))</f>
      </c>
    </row>
    <row r="464">
      <c r="H464" s="11">
        <f>IF(G464=0,"",ROUND(F464/(G464/60),2))</f>
      </c>
    </row>
    <row r="465">
      <c r="H465" s="11">
        <f>IF(G465=0,"",ROUND(F465/(G465/60),2))</f>
      </c>
    </row>
    <row r="466">
      <c r="H466" s="11">
        <f>IF(G466=0,"",ROUND(F466/(G466/60),2))</f>
      </c>
    </row>
    <row r="467">
      <c r="H467" s="11">
        <f>IF(G467=0,"",ROUND(F467/(G467/60),2))</f>
      </c>
    </row>
    <row r="468">
      <c r="H468" s="11">
        <f>IF(G468=0,"",ROUND(F468/(G468/60),2))</f>
      </c>
    </row>
    <row r="469">
      <c r="H469" s="11">
        <f>IF(G469=0,"",ROUND(F469/(G469/60),2))</f>
      </c>
    </row>
    <row r="470">
      <c r="H470" s="11">
        <f>IF(G470=0,"",ROUND(F470/(G470/60),2))</f>
      </c>
    </row>
    <row r="471">
      <c r="H471" s="11">
        <f>IF(G471=0,"",ROUND(F471/(G471/60),2))</f>
      </c>
    </row>
    <row r="472">
      <c r="H472" s="11">
        <f>IF(G472=0,"",ROUND(F472/(G472/60),2))</f>
      </c>
    </row>
    <row r="473">
      <c r="H473" s="11">
        <f>IF(G473=0,"",ROUND(F473/(G473/60),2))</f>
      </c>
    </row>
    <row r="474">
      <c r="H474" s="11">
        <f>IF(G474=0,"",ROUND(F474/(G474/60),2))</f>
      </c>
    </row>
    <row r="475">
      <c r="H475" s="11">
        <f>IF(G475=0,"",ROUND(F475/(G475/60),2))</f>
      </c>
    </row>
    <row r="476">
      <c r="H476" s="11">
        <f>IF(G476=0,"",ROUND(F476/(G476/60),2))</f>
      </c>
    </row>
    <row r="477">
      <c r="H477" s="11">
        <f>IF(G477=0,"",ROUND(F477/(G477/60),2))</f>
      </c>
    </row>
    <row r="478">
      <c r="H478" s="11">
        <f>IF(G478=0,"",ROUND(F478/(G478/60),2))</f>
      </c>
    </row>
    <row r="479">
      <c r="H479" s="11">
        <f>IF(G479=0,"",ROUND(F479/(G479/60),2))</f>
      </c>
    </row>
    <row r="480">
      <c r="H480" s="11">
        <f>IF(G480=0,"",ROUND(F480/(G480/60),2))</f>
      </c>
    </row>
    <row r="481">
      <c r="H481" s="11">
        <f>IF(G481=0,"",ROUND(F481/(G481/60),2))</f>
      </c>
    </row>
    <row r="482">
      <c r="H482" s="11">
        <f>IF(G482=0,"",ROUND(F482/(G482/60),2))</f>
      </c>
    </row>
    <row r="483">
      <c r="H483" s="11">
        <f>IF(G483=0,"",ROUND(F483/(G483/60),2))</f>
      </c>
    </row>
    <row r="484">
      <c r="H484" s="11">
        <f>IF(G484=0,"",ROUND(F484/(G484/60),2))</f>
      </c>
    </row>
    <row r="485">
      <c r="H485" s="11">
        <f>IF(G485=0,"",ROUND(F485/(G485/60),2))</f>
      </c>
    </row>
    <row r="486">
      <c r="H486" s="11">
        <f>IF(G486=0,"",ROUND(F486/(G486/60),2))</f>
      </c>
    </row>
    <row r="487">
      <c r="H487" s="11">
        <f>IF(G487=0,"",ROUND(F487/(G487/60),2))</f>
      </c>
    </row>
    <row r="488">
      <c r="H488" s="11">
        <f>IF(G488=0,"",ROUND(F488/(G488/60),2))</f>
      </c>
    </row>
    <row r="489">
      <c r="H489" s="11">
        <f>IF(G489=0,"",ROUND(F489/(G489/60),2))</f>
      </c>
    </row>
    <row r="490">
      <c r="H490" s="11">
        <f>IF(G490=0,"",ROUND(F490/(G490/60),2))</f>
      </c>
    </row>
    <row r="491">
      <c r="H491" s="11">
        <f>IF(G491=0,"",ROUND(F491/(G491/60),2))</f>
      </c>
    </row>
    <row r="492">
      <c r="H492" s="11">
        <f>IF(G492=0,"",ROUND(F492/(G492/60),2))</f>
      </c>
    </row>
    <row r="493">
      <c r="H493" s="11">
        <f>IF(G493=0,"",ROUND(F493/(G493/60),2))</f>
      </c>
    </row>
    <row r="494">
      <c r="H494" s="11">
        <f>IF(G494=0,"",ROUND(F494/(G494/60),2))</f>
      </c>
    </row>
    <row r="495">
      <c r="H495" s="11">
        <f>IF(G495=0,"",ROUND(F495/(G495/60),2))</f>
      </c>
    </row>
    <row r="496">
      <c r="H496" s="11">
        <f>IF(G496=0,"",ROUND(F496/(G496/60),2))</f>
      </c>
    </row>
    <row r="497">
      <c r="H497" s="11">
        <f>IF(G497=0,"",ROUND(F497/(G497/60),2))</f>
      </c>
    </row>
    <row r="498">
      <c r="H498" s="11">
        <f>IF(G498=0,"",ROUND(F498/(G498/60),2))</f>
      </c>
    </row>
    <row r="499">
      <c r="H499" s="11">
        <f>IF(G499=0,"",ROUND(F499/(G499/60),2))</f>
      </c>
    </row>
    <row r="500">
      <c r="H500" s="11">
        <f>IF(G500=0,"",ROUND(F500/(G500/60),2))</f>
      </c>
    </row>
  </sheetData>
  <autoFilter ref="A1:I500"/>
  <dataValidations count="3">
    <dataValidation type="list" allowBlank="1" showInputMessage="1" showErrorMessage="1" sqref="D2:D500">
      <formula1>'Rate Settings'!$A$13:$A$15</formula1>
    </dataValidation>
    <dataValidation type="list" allowBlank="1" showInputMessage="1" showErrorMessage="1" sqref="E2:E500">
      <formula1>'Rate Settings'!$A$24:$A$27</formula1>
    </dataValidation>
    <dataValidation type="list" allowBlank="1" showInputMessage="1" showErrorMessage="1" sqref="I2:I500">
      <formula1>"Won,Lost,Pending"</formula1>
    </dataValidation>
  </dataValidations>
</worksheet>
</file>