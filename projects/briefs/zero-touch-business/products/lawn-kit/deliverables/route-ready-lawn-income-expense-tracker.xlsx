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Income" sheetId="2" r:id="rId2"/>
    <sheet name="Expenses" sheetId="3" r:id="rId3"/>
    <sheet name="Summary" sheetId="4" r:id="rId4"/>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Income &amp; Expense Tracker — how to use
One row per transaction. Money in on the Income tab, money out on the Expenses tab, and the Summary tab totals it by month and by category.
Do this weekly, not at tax time. Fifteen minutes on a Friday beats a lost weekend in April, and the expenses you forget are the deductions you donate to the IRS.
The categories are set up for this trade. Blades, parts, and fuel are constant; equipment repair is the one that ambushes people mid-season. Change them to match your accountant's chart of accounts if you have one.
This is a bookkeeping aid, not tax advice. Talk to a CPA about your situation.
Convention: yellow cells = inputs (type here), green cells = outputs (never type here).</t>
        </is>
      </c>
    </row>
  </sheetData>
  <mergeCells count="1">
    <mergeCell ref="A1:F16"/>
  </mergeCells>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2" customWidth="1"/>
    <col min="3" max="3" width="24" customWidth="1"/>
    <col min="4" max="4" width="13" customWidth="1"/>
    <col min="5" max="5" width="12" customWidth="1"/>
    <col min="6" max="6" width="9" customWidth="1"/>
    <col min="7" max="7" width="40" customWidth="1"/>
  </cols>
  <sheetData>
    <row r="1">
      <c r="A1" s="2" t="inlineStr">
        <is>
          <t xml:space="preserve">Date</t>
        </is>
      </c>
      <c r="B1" s="2" t="inlineStr">
        <is>
          <t xml:space="preserve">Client</t>
        </is>
      </c>
      <c r="C1" s="2" t="inlineStr">
        <is>
          <t xml:space="preserve">Service</t>
        </is>
      </c>
      <c r="D1" s="2" t="inlineStr">
        <is>
          <t xml:space="preserve">Amount ($)</t>
        </is>
      </c>
      <c r="E1" s="2" t="inlineStr">
        <is>
          <t xml:space="preserve">Method</t>
        </is>
      </c>
      <c r="F1" s="2" t="inlineStr">
        <is>
          <t xml:space="preserve">Paid?</t>
        </is>
      </c>
      <c r="G1" s="2" t="inlineStr">
        <is>
          <t xml:space="preserve">Notes</t>
        </is>
      </c>
    </row>
    <row r="2">
      <c r="A2" s="7">
        <v>46209</v>
      </c>
      <c r="B2" s="4" t="inlineStr">
        <is>
          <t xml:space="preserve">Okafor, D.</t>
        </is>
      </c>
      <c r="C2" s="4" t="inlineStr">
        <is>
          <t xml:space="preserve">Monthly mowing</t>
        </is>
      </c>
      <c r="D2" s="6">
        <v>238</v>
      </c>
      <c r="E2" s="4" t="inlineStr">
        <is>
          <t xml:space="preserve">Card</t>
        </is>
      </c>
      <c r="F2" s="4" t="inlineStr">
        <is>
          <t xml:space="preserve">Yes</t>
        </is>
      </c>
    </row>
    <row r="3">
      <c r="A3" s="7">
        <v>46209</v>
      </c>
      <c r="B3" s="4" t="inlineStr">
        <is>
          <t xml:space="preserve">Ruiz, M.</t>
        </is>
      </c>
      <c r="C3" s="4" t="inlineStr">
        <is>
          <t xml:space="preserve">Monthly mowing</t>
        </is>
      </c>
      <c r="D3" s="6">
        <v>281</v>
      </c>
      <c r="E3" s="4" t="inlineStr">
        <is>
          <t xml:space="preserve">Card</t>
        </is>
      </c>
      <c r="F3" s="4" t="inlineStr">
        <is>
          <t xml:space="preserve">Yes</t>
        </is>
      </c>
    </row>
    <row r="4">
      <c r="A4" s="7">
        <v>46214</v>
      </c>
      <c r="B4" s="4" t="inlineStr">
        <is>
          <t xml:space="preserve">Bell, S.</t>
        </is>
      </c>
      <c r="C4" s="4" t="inlineStr">
        <is>
          <t xml:space="preserve">Mulch install</t>
        </is>
      </c>
      <c r="D4" s="6">
        <v>425</v>
      </c>
      <c r="E4" s="4" t="inlineStr">
        <is>
          <t xml:space="preserve">Invoice</t>
        </is>
      </c>
      <c r="F4" s="4" t="inlineStr">
        <is>
          <t xml:space="preserve">No</t>
        </is>
      </c>
    </row>
  </sheetData>
  <autoFilter ref="A1:G500"/>
  <dataValidations count="2">
    <dataValidation type="list" allowBlank="1" showInputMessage="1" showErrorMessage="1" sqref="E2:E500">
      <formula1>"Cash,Check,Card,Invoice,Other"</formula1>
    </dataValidation>
    <dataValidation type="list" allowBlank="1" showInputMessage="1" showErrorMessage="1" sqref="F2:F500">
      <formula1>"Yes,No"</formula1>
    </dataValidation>
  </dataValidations>
</worksheet>
</file>

<file path=xl/worksheets/sheet3.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4" customWidth="1"/>
    <col min="3" max="3" width="28" customWidth="1"/>
    <col min="4" max="4" width="13" customWidth="1"/>
    <col min="5" max="5" width="44" customWidth="1"/>
  </cols>
  <sheetData>
    <row r="1">
      <c r="A1" s="2" t="inlineStr">
        <is>
          <t xml:space="preserve">Date</t>
        </is>
      </c>
      <c r="B1" s="2" t="inlineStr">
        <is>
          <t xml:space="preserve">Vendor</t>
        </is>
      </c>
      <c r="C1" s="2" t="inlineStr">
        <is>
          <t xml:space="preserve">Category</t>
        </is>
      </c>
      <c r="D1" s="2" t="inlineStr">
        <is>
          <t xml:space="preserve">Amount ($)</t>
        </is>
      </c>
      <c r="E1" s="2" t="inlineStr">
        <is>
          <t xml:space="preserve">Notes</t>
        </is>
      </c>
    </row>
    <row r="2">
      <c r="A2" s="7">
        <v>46204</v>
      </c>
      <c r="B2" s="4" t="inlineStr">
        <is>
          <t xml:space="preserve">Fuel stop</t>
        </is>
      </c>
      <c r="C2" s="4" t="inlineStr">
        <is>
          <t xml:space="preserve">Fuel</t>
        </is>
      </c>
      <c r="D2" s="6">
        <v>96</v>
      </c>
      <c r="E2" s="4" t="inlineStr">
        <is>
          <t xml:space="preserve">Mowers + truck</t>
        </is>
      </c>
    </row>
    <row r="3">
      <c r="A3" s="7">
        <v>46205</v>
      </c>
      <c r="B3" s="4" t="inlineStr">
        <is>
          <t xml:space="preserve">Dealer</t>
        </is>
      </c>
      <c r="C3" s="4" t="inlineStr">
        <is>
          <t xml:space="preserve">Blades &amp; parts</t>
        </is>
      </c>
      <c r="D3" s="6">
        <v>64</v>
      </c>
      <c r="E3" s="4" t="inlineStr">
        <is>
          <t xml:space="preserve">Two sets, 48"</t>
        </is>
      </c>
    </row>
    <row r="4">
      <c r="A4" s="7">
        <v>46208</v>
      </c>
      <c r="B4" s="4" t="inlineStr">
        <is>
          <t xml:space="preserve">Insurance co.</t>
        </is>
      </c>
      <c r="C4" s="4" t="inlineStr">
        <is>
          <t xml:space="preserve">Insurance</t>
        </is>
      </c>
      <c r="D4" s="6">
        <v>140</v>
      </c>
      <c r="E4" s="4" t="inlineStr">
        <is>
          <t xml:space="preserve">Monthly GL premium</t>
        </is>
      </c>
    </row>
  </sheetData>
  <autoFilter ref="A1:E500"/>
  <dataValidations count="1">
    <dataValidation type="list" allowBlank="1" showInputMessage="1" showErrorMessage="1" sqref="C2:C500">
      <formula1>'Summary'!$A$14:$A$27</formula1>
    </dataValidation>
  </dataValidations>
</worksheet>
</file>

<file path=xl/worksheets/sheet4.xml><?xml version="1.0" encoding="utf-8"?>
<worksheet xmlns="http://schemas.openxmlformats.org/spreadsheetml/2006/main">
  <sheetViews>
    <sheetView workbookViewId="0"/>
  </sheetViews>
  <cols>
    <col min="1" max="1" width="32" customWidth="1"/>
    <col min="2" max="2" width="16" customWidth="1"/>
    <col min="3" max="3" width="52" customWidth="1"/>
  </cols>
  <sheetData>
    <row r="1">
      <c r="A1" s="2" t="inlineStr">
        <is>
          <t xml:space="preserve">SUMMARY</t>
        </is>
      </c>
      <c r="B1" s="2" t="inlineStr">
        <is>
          <t xml:space="preserve"/>
        </is>
      </c>
      <c r="C1" s="2" t="inlineStr">
        <is>
          <t xml:space="preserve"/>
        </is>
      </c>
    </row>
    <row r="3">
      <c r="A3" s="3" t="inlineStr">
        <is>
          <t xml:space="preserve">Total income</t>
        </is>
      </c>
      <c r="B3" s="11">
        <f>SUM(Income!D2:D500)</f>
      </c>
    </row>
    <row r="4">
      <c r="A4" s="3" t="inlineStr">
        <is>
          <t xml:space="preserve">Collected</t>
        </is>
      </c>
      <c r="B4" s="11">
        <f>SUMIF(Income!F2:F500,"Yes",Income!D2:D500)</f>
      </c>
    </row>
    <row r="5">
      <c r="A5" s="3" t="inlineStr">
        <is>
          <t xml:space="preserve">Outstanding (unpaid)</t>
        </is>
      </c>
      <c r="B5" s="11">
        <f>SUMIF(Income!F2:F500,"No",Income!D2:D500)</f>
      </c>
      <c r="C5" s="14" t="inlineStr">
        <is>
          <t xml:space="preserve">Chase anything older than your terms — today, not next month</t>
        </is>
      </c>
    </row>
    <row r="6">
      <c r="A6" s="3" t="inlineStr">
        <is>
          <t xml:space="preserve">Total expenses</t>
        </is>
      </c>
      <c r="B6" s="11">
        <f>SUM(Expenses!D2:D500)</f>
      </c>
    </row>
    <row r="7">
      <c r="A7" s="3" t="inlineStr">
        <is>
          <t xml:space="preserve">Net (income - expenses)</t>
        </is>
      </c>
      <c r="B7" s="11">
        <f>B3-B6</f>
      </c>
    </row>
    <row r="8">
      <c r="A8" s="3" t="inlineStr">
        <is>
          <t xml:space="preserve">Margin</t>
        </is>
      </c>
      <c r="B8" s="12">
        <f>IF(B3=0,"",B7/B3)</f>
      </c>
    </row>
    <row r="10">
      <c r="A10" s="3" t="inlineStr">
        <is>
          <t xml:space="preserve">Set aside for taxes</t>
        </is>
      </c>
      <c r="B10" s="11">
        <f>IF(B7&lt;0,0,ROUND(B7*B11,2))</f>
      </c>
    </row>
    <row r="11">
      <c r="A11" s="3" t="inlineStr">
        <is>
          <t xml:space="preserve">Tax set-aside rate</t>
        </is>
      </c>
      <c r="B11" s="5">
        <v>0.25</v>
      </c>
      <c r="C11" s="14" t="inlineStr">
        <is>
          <t xml:space="preserve">Common rule of thumb for self-employment; confirm with your CPA</t>
        </is>
      </c>
    </row>
    <row r="13">
      <c r="A13" s="2" t="inlineStr">
        <is>
          <t xml:space="preserve">EXPENSES BY CATEGORY</t>
        </is>
      </c>
      <c r="B13" s="2" t="inlineStr">
        <is>
          <t xml:space="preserve"/>
        </is>
      </c>
      <c r="C13" s="2" t="inlineStr">
        <is>
          <t xml:space="preserve"/>
        </is>
      </c>
    </row>
    <row r="14">
      <c r="A14" s="4" t="inlineStr">
        <is>
          <t xml:space="preserve">Fuel</t>
        </is>
      </c>
      <c r="B14" s="11">
        <f>SUMIF(Expenses!C2:C500,A14,Expenses!D2:D500)</f>
      </c>
      <c r="C14" s="12">
        <f>IF($B$6=0,"",B14/$B$6)</f>
      </c>
    </row>
    <row r="15">
      <c r="A15" s="4" t="inlineStr">
        <is>
          <t xml:space="preserve">Blades &amp; parts</t>
        </is>
      </c>
      <c r="B15" s="11">
        <f>SUMIF(Expenses!C2:C500,A15,Expenses!D2:D500)</f>
      </c>
      <c r="C15" s="12">
        <f>IF($B$6=0,"",B15/$B$6)</f>
      </c>
    </row>
    <row r="16">
      <c r="A16" s="4" t="inlineStr">
        <is>
          <t xml:space="preserve">Equipment purchase</t>
        </is>
      </c>
      <c r="B16" s="11">
        <f>SUMIF(Expenses!C2:C500,A16,Expenses!D2:D500)</f>
      </c>
      <c r="C16" s="12">
        <f>IF($B$6=0,"",B16/$B$6)</f>
      </c>
    </row>
    <row r="17">
      <c r="A17" s="4" t="inlineStr">
        <is>
          <t xml:space="preserve">Equipment repair/maintenance</t>
        </is>
      </c>
      <c r="B17" s="11">
        <f>SUMIF(Expenses!C2:C500,A17,Expenses!D2:D500)</f>
      </c>
      <c r="C17" s="12">
        <f>IF($B$6=0,"",B17/$B$6)</f>
      </c>
    </row>
    <row r="18">
      <c r="A18" s="4" t="inlineStr">
        <is>
          <t xml:space="preserve">Fertilizer &amp; chemicals</t>
        </is>
      </c>
      <c r="B18" s="11">
        <f>SUMIF(Expenses!C2:C500,A18,Expenses!D2:D500)</f>
      </c>
      <c r="C18" s="12">
        <f>IF($B$6=0,"",B18/$B$6)</f>
      </c>
    </row>
    <row r="19">
      <c r="A19" s="4" t="inlineStr">
        <is>
          <t xml:space="preserve">Mulch &amp; materials</t>
        </is>
      </c>
      <c r="B19" s="11">
        <f>SUMIF(Expenses!C2:C500,A19,Expenses!D2:D500)</f>
      </c>
      <c r="C19" s="12">
        <f>IF($B$6=0,"",B19/$B$6)</f>
      </c>
    </row>
    <row r="20">
      <c r="A20" s="4" t="inlineStr">
        <is>
          <t xml:space="preserve">Insurance</t>
        </is>
      </c>
      <c r="B20" s="11">
        <f>SUMIF(Expenses!C2:C500,A20,Expenses!D2:D500)</f>
      </c>
      <c r="C20" s="12">
        <f>IF($B$6=0,"",B20/$B$6)</f>
      </c>
    </row>
    <row r="21">
      <c r="A21" s="4" t="inlineStr">
        <is>
          <t xml:space="preserve">Vehicle/trailer</t>
        </is>
      </c>
      <c r="B21" s="11">
        <f>SUMIF(Expenses!C2:C500,A21,Expenses!D2:D500)</f>
      </c>
      <c r="C21" s="12">
        <f>IF($B$6=0,"",B21/$B$6)</f>
      </c>
    </row>
    <row r="22">
      <c r="A22" s="4" t="inlineStr">
        <is>
          <t xml:space="preserve">Licenses &amp; fees</t>
        </is>
      </c>
      <c r="B22" s="11">
        <f>SUMIF(Expenses!C2:C500,A22,Expenses!D2:D500)</f>
      </c>
      <c r="C22" s="12">
        <f>IF($B$6=0,"",B22/$B$6)</f>
      </c>
    </row>
    <row r="23">
      <c r="A23" s="4" t="inlineStr">
        <is>
          <t xml:space="preserve">Dump/disposal fees</t>
        </is>
      </c>
      <c r="B23" s="11">
        <f>SUMIF(Expenses!C2:C500,A23,Expenses!D2:D500)</f>
      </c>
      <c r="C23" s="12">
        <f>IF($B$6=0,"",B23/$B$6)</f>
      </c>
    </row>
    <row r="24">
      <c r="A24" s="4" t="inlineStr">
        <is>
          <t xml:space="preserve">Marketing</t>
        </is>
      </c>
      <c r="B24" s="11">
        <f>SUMIF(Expenses!C2:C500,A24,Expenses!D2:D500)</f>
      </c>
      <c r="C24" s="12">
        <f>IF($B$6=0,"",B24/$B$6)</f>
      </c>
    </row>
    <row r="25">
      <c r="A25" s="4" t="inlineStr">
        <is>
          <t xml:space="preserve">Software/apps</t>
        </is>
      </c>
      <c r="B25" s="11">
        <f>SUMIF(Expenses!C2:C500,A25,Expenses!D2:D500)</f>
      </c>
      <c r="C25" s="12">
        <f>IF($B$6=0,"",B25/$B$6)</f>
      </c>
    </row>
    <row r="26">
      <c r="A26" s="4" t="inlineStr">
        <is>
          <t xml:space="preserve">Labor</t>
        </is>
      </c>
      <c r="B26" s="11">
        <f>SUMIF(Expenses!C2:C500,A26,Expenses!D2:D500)</f>
      </c>
      <c r="C26" s="12">
        <f>IF($B$6=0,"",B26/$B$6)</f>
      </c>
    </row>
    <row r="27">
      <c r="A27" s="4" t="inlineStr">
        <is>
          <t xml:space="preserve">Other</t>
        </is>
      </c>
      <c r="B27" s="11">
        <f>SUMIF(Expenses!C2:C500,A27,Expenses!D2:D500)</f>
      </c>
      <c r="C27" s="12">
        <f>IF($B$6=0,"",B27/$B$6)</f>
      </c>
    </row>
  </sheetData>
  <mergeCells count="2">
    <mergeCell ref="A1:C1"/>
    <mergeCell ref="A13:C13"/>
  </mergeCells>
</worksheet>
</file>