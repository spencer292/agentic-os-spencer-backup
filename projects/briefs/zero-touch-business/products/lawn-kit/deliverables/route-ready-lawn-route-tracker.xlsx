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Clients" sheetId="2" r:id="rId2"/>
    <sheet name="Route Days" sheetId="3" r:id="rId3"/>
    <sheet name="Density" sheetId="4" r:id="rId4"/>
  </sheets>
  <calcPr calcId="171027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0"/>
    <numFmt numFmtId="166" formatCode="mmm\ yyyy"/>
    <numFmt numFmtId="167" formatCode="mmm"/>
    <numFmt numFmtId="168" formatCode="yyyy\-mm\-dd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A7F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NumberFormat="1" applyFont="1" applyFill="1"/>
    <xf numFmtId="0" fontId="4" fillId="0" borderId="0" xfId="0" applyNumberFormat="1" applyFont="1" applyFill="1"/>
    <xf numFmtId="0" fontId="2" fillId="4" borderId="0" xfId="0" applyNumberFormat="1" applyFont="1" applyFill="1"/>
    <xf numFmtId="0" fontId="1" fillId="0" borderId="0" xfId="0" applyNumberFormat="1" applyFont="1" applyFill="1"/>
    <xf numFmtId="0" fontId="0" fillId="2" borderId="0" xfId="0" applyNumberFormat="1" applyFont="1" applyFill="1"/>
    <xf numFmtId="165" fontId="0" fillId="2" borderId="0" xfId="0" applyNumberFormat="1" applyFont="1" applyFill="1"/>
    <xf numFmtId="164" fontId="0" fillId="2" borderId="0" xfId="0" applyNumberFormat="1" applyFont="1" applyFill="1"/>
    <xf numFmtId="168" fontId="0" fillId="2" borderId="0" xfId="0" applyNumberFormat="1" applyFont="1" applyFill="1"/>
    <xf numFmtId="1" fontId="0" fillId="2" borderId="0" xfId="0" applyNumberFormat="1" applyFont="1" applyFill="1"/>
    <xf numFmtId="0" fontId="0" fillId="3" borderId="0" xfId="0" applyNumberFormat="1" applyFont="1" applyFill="1"/>
    <xf numFmtId="165" fontId="0" fillId="3" borderId="0" xfId="0" applyNumberFormat="1" applyFont="1" applyFill="1"/>
    <xf numFmtId="164" fontId="0" fillId="3" borderId="0" xfId="0" applyNumberFormat="1" applyFont="1" applyFill="1"/>
    <xf numFmtId="9" fontId="0" fillId="3" borderId="0" xfId="0" applyNumberFormat="1" applyFont="1" applyFill="1"/>
    <xf numFmtId="166" fontId="0" fillId="3" borderId="0" xfId="0" applyNumberFormat="1" applyFont="1" applyFill="1"/>
    <xf numFmtId="0" fontId="3" fillId="0" borderId="0" xfId="0" applyNumberFormat="1" applyFont="1" applyFill="1" applyAlignment="1">
      <alignment wrapText="1"/>
    </xf>
    <xf numFmtId="0" fontId="0" fillId="0" borderId="0" xfId="0" applyNumberFormat="1" applyFont="1" applyFill="1" applyAlignment="1">
      <alignment wrapText="1" vertical="top"/>
    </xf>
    <xf numFmtId="167" fontId="2" fillId="4" borderId="0" xfId="0" applyNumberFormat="1" applyFont="1" applyFill="1"/>
    <xf numFmtId="0" fontId="0" fillId="3" borderId="0" xfId="0" applyNumberFormat="1" applyFont="1" applyFill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5" t="inlineStr">
        <is>
          <t xml:space="preserve">Recurring Client &amp; Route Tracker — how to use
The route IS the business. This workbook keeps every recurring client in one tab and shows you which route days earn and which ones are a truck payment disguised as a schedule.
Clients tab: one row per recurring client. Set their service day, price, and on-site minutes.
Route Days tab: totals each day automatically — stops, revenue, hours, and revenue per hour. A day under your target hourly rate is a day you're subsidizing with the good days.
Density tab: the number that decides whether this business works. Drive time between stops is unpaid, and it is the difference between a $70/hr route and a $40/hr route with the same customers.
Rule of thumb: if a prospect is more than 10 minutes off your existing route for that day, they need to pay a premium or wait until you have neighbors near them. Saying no to scattered work is how you build a tight route.
Convention: yellow cells = inputs (type here), green cells = outputs (never type here).</t>
        </is>
      </c>
    </row>
  </sheetData>
  <mergeCells count="1">
    <mergeCell ref="A1:F20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0" customWidth="1"/>
    <col min="2" max="2" width="24" customWidth="1"/>
    <col min="3" max="3" width="12" customWidth="1"/>
    <col min="4" max="4" width="13" customWidth="1"/>
    <col min="5" max="5" width="11" customWidth="1"/>
    <col min="6" max="6" width="14" customWidth="1"/>
    <col min="7" max="7" width="12" customWidth="1"/>
    <col min="8" max="8" width="10" customWidth="1"/>
    <col min="9" max="9" width="10" customWidth="1"/>
    <col min="10" max="10" width="11" customWidth="1"/>
    <col min="11" max="11" width="10" customWidth="1"/>
    <col min="12" max="12" width="46" customWidth="1"/>
  </cols>
  <sheetData>
    <row r="1">
      <c r="A1" s="2" t="inlineStr">
        <is>
          <t xml:space="preserve">Client</t>
        </is>
      </c>
      <c r="B1" s="2" t="inlineStr">
        <is>
          <t xml:space="preserve">Address</t>
        </is>
      </c>
      <c r="C1" s="2" t="inlineStr">
        <is>
          <t xml:space="preserve">Phone</t>
        </is>
      </c>
      <c r="D1" s="2" t="inlineStr">
        <is>
          <t xml:space="preserve">Service Day</t>
        </is>
      </c>
      <c r="E1" s="2" t="inlineStr">
        <is>
          <t xml:space="preserve">Frequency</t>
        </is>
      </c>
      <c r="F1" s="2" t="inlineStr">
        <is>
          <t xml:space="preserve">Price/Visit ($)</t>
        </is>
      </c>
      <c r="G1" s="2" t="inlineStr">
        <is>
          <t xml:space="preserve">On-site Min</t>
        </is>
      </c>
      <c r="H1" s="2" t="inlineStr">
        <is>
          <t xml:space="preserve">Drive Min</t>
        </is>
      </c>
      <c r="I1" s="2" t="inlineStr">
        <is>
          <t xml:space="preserve">$/hr</t>
        </is>
      </c>
      <c r="J1" s="2" t="inlineStr">
        <is>
          <t xml:space="preserve">Billing</t>
        </is>
      </c>
      <c r="K1" s="2" t="inlineStr">
        <is>
          <t xml:space="preserve">Status</t>
        </is>
      </c>
      <c r="L1" s="2" t="inlineStr">
        <is>
          <t xml:space="preserve">Notes</t>
        </is>
      </c>
    </row>
    <row r="2">
      <c r="A2" s="4" t="inlineStr">
        <is>
          <t xml:space="preserve">Okafor, D.</t>
        </is>
      </c>
      <c r="B2" s="4" t="inlineStr">
        <is>
          <t xml:space="preserve">12 Larkspur Ln</t>
        </is>
      </c>
      <c r="C2" s="4" t="inlineStr">
        <is>
          <t xml:space="preserve">555-0112</t>
        </is>
      </c>
      <c r="D2" s="4" t="inlineStr">
        <is>
          <t xml:space="preserve">Monday</t>
        </is>
      </c>
      <c r="E2" s="4" t="inlineStr">
        <is>
          <t xml:space="preserve">Weekly</t>
        </is>
      </c>
      <c r="F2" s="6">
        <v>55</v>
      </c>
      <c r="G2" s="8">
        <v>34</v>
      </c>
      <c r="H2" s="8">
        <v>6</v>
      </c>
      <c r="I2" s="11">
        <f>IF(OR(G2="",(G2+H2)=0),"",ROUND(F2/((G2+H2)/60),2))</f>
      </c>
      <c r="J2" s="4" t="inlineStr">
        <is>
          <t xml:space="preserve">Monthly</t>
        </is>
      </c>
      <c r="K2" s="4" t="inlineStr">
        <is>
          <t xml:space="preserve">Active</t>
        </is>
      </c>
      <c r="L2" s="4" t="inlineStr">
        <is>
          <t xml:space="preserve">Invisible fence marked — see walkthrough form</t>
        </is>
      </c>
    </row>
    <row r="3">
      <c r="A3" s="4" t="inlineStr">
        <is>
          <t xml:space="preserve">Ruiz, M.</t>
        </is>
      </c>
      <c r="B3" s="4" t="inlineStr">
        <is>
          <t xml:space="preserve">28 Larkspur Ln</t>
        </is>
      </c>
      <c r="C3" s="4" t="inlineStr">
        <is>
          <t xml:space="preserve">555-0128</t>
        </is>
      </c>
      <c r="D3" s="4" t="inlineStr">
        <is>
          <t xml:space="preserve">Monday</t>
        </is>
      </c>
      <c r="E3" s="4" t="inlineStr">
        <is>
          <t xml:space="preserve">Weekly</t>
        </is>
      </c>
      <c r="F3" s="6">
        <v>65</v>
      </c>
      <c r="G3" s="8">
        <v>41</v>
      </c>
      <c r="H3" s="8">
        <v>2</v>
      </c>
      <c r="I3" s="11">
        <f>IF(OR(G3="",(G3+H3)=0),"",ROUND(F3/((G3+H3)/60),2))</f>
      </c>
      <c r="J3" s="4" t="inlineStr">
        <is>
          <t xml:space="preserve">Monthly</t>
        </is>
      </c>
      <c r="K3" s="4" t="inlineStr">
        <is>
          <t xml:space="preserve">Active</t>
        </is>
      </c>
      <c r="L3" s="4" t="inlineStr">
        <is>
          <t xml:space="preserve">Two doors down from Okafor — this is what density looks like</t>
        </is>
      </c>
    </row>
    <row r="4">
      <c r="A4" s="4" t="inlineStr">
        <is>
          <t xml:space="preserve">Bell, S.</t>
        </is>
      </c>
      <c r="B4" s="4" t="inlineStr">
        <is>
          <t xml:space="preserve">903 Highfield Rd</t>
        </is>
      </c>
      <c r="C4" s="4" t="inlineStr">
        <is>
          <t xml:space="preserve">555-0193</t>
        </is>
      </c>
      <c r="D4" s="4" t="inlineStr">
        <is>
          <t xml:space="preserve">Tuesday</t>
        </is>
      </c>
      <c r="E4" s="4" t="inlineStr">
        <is>
          <t xml:space="preserve">Biweekly</t>
        </is>
      </c>
      <c r="F4" s="6">
        <v>60</v>
      </c>
      <c r="G4" s="8">
        <v>38</v>
      </c>
      <c r="H4" s="8">
        <v>18</v>
      </c>
      <c r="I4" s="11">
        <f>IF(OR(G4="",(G4+H4)=0),"",ROUND(F4/((G4+H4)/60),2))</f>
      </c>
      <c r="J4" s="4" t="inlineStr">
        <is>
          <t xml:space="preserve">Per visit</t>
        </is>
      </c>
      <c r="K4" s="4" t="inlineStr">
        <is>
          <t xml:space="preserve">Active</t>
        </is>
      </c>
      <c r="L4" s="4" t="inlineStr">
        <is>
          <t xml:space="preserve">18 min off route — first stop that day or it doesn't pay</t>
        </is>
      </c>
    </row>
    <row r="5">
      <c r="I5" s="11">
        <f>IF(OR(G5="",(G5+H5)=0),"",ROUND(F5/((G5+H5)/60),2))</f>
      </c>
    </row>
    <row r="6">
      <c r="I6" s="11">
        <f>IF(OR(G6="",(G6+H6)=0),"",ROUND(F6/((G6+H6)/60),2))</f>
      </c>
    </row>
    <row r="7">
      <c r="I7" s="11">
        <f>IF(OR(G7="",(G7+H7)=0),"",ROUND(F7/((G7+H7)/60),2))</f>
      </c>
    </row>
    <row r="8">
      <c r="I8" s="11">
        <f>IF(OR(G8="",(G8+H8)=0),"",ROUND(F8/((G8+H8)/60),2))</f>
      </c>
    </row>
    <row r="9">
      <c r="I9" s="11">
        <f>IF(OR(G9="",(G9+H9)=0),"",ROUND(F9/((G9+H9)/60),2))</f>
      </c>
    </row>
    <row r="10">
      <c r="I10" s="11">
        <f>IF(OR(G10="",(G10+H10)=0),"",ROUND(F10/((G10+H10)/60),2))</f>
      </c>
    </row>
    <row r="11">
      <c r="I11" s="11">
        <f>IF(OR(G11="",(G11+H11)=0),"",ROUND(F11/((G11+H11)/60),2))</f>
      </c>
    </row>
    <row r="12">
      <c r="I12" s="11">
        <f>IF(OR(G12="",(G12+H12)=0),"",ROUND(F12/((G12+H12)/60),2))</f>
      </c>
    </row>
    <row r="13">
      <c r="I13" s="11">
        <f>IF(OR(G13="",(G13+H13)=0),"",ROUND(F13/((G13+H13)/60),2))</f>
      </c>
    </row>
    <row r="14">
      <c r="I14" s="11">
        <f>IF(OR(G14="",(G14+H14)=0),"",ROUND(F14/((G14+H14)/60),2))</f>
      </c>
    </row>
    <row r="15">
      <c r="I15" s="11">
        <f>IF(OR(G15="",(G15+H15)=0),"",ROUND(F15/((G15+H15)/60),2))</f>
      </c>
    </row>
    <row r="16">
      <c r="I16" s="11">
        <f>IF(OR(G16="",(G16+H16)=0),"",ROUND(F16/((G16+H16)/60),2))</f>
      </c>
    </row>
    <row r="17">
      <c r="I17" s="11">
        <f>IF(OR(G17="",(G17+H17)=0),"",ROUND(F17/((G17+H17)/60),2))</f>
      </c>
    </row>
    <row r="18">
      <c r="I18" s="11">
        <f>IF(OR(G18="",(G18+H18)=0),"",ROUND(F18/((G18+H18)/60),2))</f>
      </c>
    </row>
    <row r="19">
      <c r="I19" s="11">
        <f>IF(OR(G19="",(G19+H19)=0),"",ROUND(F19/((G19+H19)/60),2))</f>
      </c>
    </row>
    <row r="20">
      <c r="I20" s="11">
        <f>IF(OR(G20="",(G20+H20)=0),"",ROUND(F20/((G20+H20)/60),2))</f>
      </c>
    </row>
    <row r="21">
      <c r="I21" s="11">
        <f>IF(OR(G21="",(G21+H21)=0),"",ROUND(F21/((G21+H21)/60),2))</f>
      </c>
    </row>
    <row r="22">
      <c r="I22" s="11">
        <f>IF(OR(G22="",(G22+H22)=0),"",ROUND(F22/((G22+H22)/60),2))</f>
      </c>
    </row>
    <row r="23">
      <c r="I23" s="11">
        <f>IF(OR(G23="",(G23+H23)=0),"",ROUND(F23/((G23+H23)/60),2))</f>
      </c>
    </row>
    <row r="24">
      <c r="I24" s="11">
        <f>IF(OR(G24="",(G24+H24)=0),"",ROUND(F24/((G24+H24)/60),2))</f>
      </c>
    </row>
    <row r="25">
      <c r="I25" s="11">
        <f>IF(OR(G25="",(G25+H25)=0),"",ROUND(F25/((G25+H25)/60),2))</f>
      </c>
    </row>
    <row r="26">
      <c r="I26" s="11">
        <f>IF(OR(G26="",(G26+H26)=0),"",ROUND(F26/((G26+H26)/60),2))</f>
      </c>
    </row>
    <row r="27">
      <c r="I27" s="11">
        <f>IF(OR(G27="",(G27+H27)=0),"",ROUND(F27/((G27+H27)/60),2))</f>
      </c>
    </row>
    <row r="28">
      <c r="I28" s="11">
        <f>IF(OR(G28="",(G28+H28)=0),"",ROUND(F28/((G28+H28)/60),2))</f>
      </c>
    </row>
    <row r="29">
      <c r="I29" s="11">
        <f>IF(OR(G29="",(G29+H29)=0),"",ROUND(F29/((G29+H29)/60),2))</f>
      </c>
    </row>
    <row r="30">
      <c r="I30" s="11">
        <f>IF(OR(G30="",(G30+H30)=0),"",ROUND(F30/((G30+H30)/60),2))</f>
      </c>
    </row>
    <row r="31">
      <c r="I31" s="11">
        <f>IF(OR(G31="",(G31+H31)=0),"",ROUND(F31/((G31+H31)/60),2))</f>
      </c>
    </row>
    <row r="32">
      <c r="I32" s="11">
        <f>IF(OR(G32="",(G32+H32)=0),"",ROUND(F32/((G32+H32)/60),2))</f>
      </c>
    </row>
    <row r="33">
      <c r="I33" s="11">
        <f>IF(OR(G33="",(G33+H33)=0),"",ROUND(F33/((G33+H33)/60),2))</f>
      </c>
    </row>
    <row r="34">
      <c r="I34" s="11">
        <f>IF(OR(G34="",(G34+H34)=0),"",ROUND(F34/((G34+H34)/60),2))</f>
      </c>
    </row>
    <row r="35">
      <c r="I35" s="11">
        <f>IF(OR(G35="",(G35+H35)=0),"",ROUND(F35/((G35+H35)/60),2))</f>
      </c>
    </row>
    <row r="36">
      <c r="I36" s="11">
        <f>IF(OR(G36="",(G36+H36)=0),"",ROUND(F36/((G36+H36)/60),2))</f>
      </c>
    </row>
    <row r="37">
      <c r="I37" s="11">
        <f>IF(OR(G37="",(G37+H37)=0),"",ROUND(F37/((G37+H37)/60),2))</f>
      </c>
    </row>
    <row r="38">
      <c r="I38" s="11">
        <f>IF(OR(G38="",(G38+H38)=0),"",ROUND(F38/((G38+H38)/60),2))</f>
      </c>
    </row>
    <row r="39">
      <c r="I39" s="11">
        <f>IF(OR(G39="",(G39+H39)=0),"",ROUND(F39/((G39+H39)/60),2))</f>
      </c>
    </row>
    <row r="40">
      <c r="I40" s="11">
        <f>IF(OR(G40="",(G40+H40)=0),"",ROUND(F40/((G40+H40)/60),2))</f>
      </c>
    </row>
    <row r="41">
      <c r="I41" s="11">
        <f>IF(OR(G41="",(G41+H41)=0),"",ROUND(F41/((G41+H41)/60),2))</f>
      </c>
    </row>
    <row r="42">
      <c r="I42" s="11">
        <f>IF(OR(G42="",(G42+H42)=0),"",ROUND(F42/((G42+H42)/60),2))</f>
      </c>
    </row>
    <row r="43">
      <c r="I43" s="11">
        <f>IF(OR(G43="",(G43+H43)=0),"",ROUND(F43/((G43+H43)/60),2))</f>
      </c>
    </row>
    <row r="44">
      <c r="I44" s="11">
        <f>IF(OR(G44="",(G44+H44)=0),"",ROUND(F44/((G44+H44)/60),2))</f>
      </c>
    </row>
    <row r="45">
      <c r="I45" s="11">
        <f>IF(OR(G45="",(G45+H45)=0),"",ROUND(F45/((G45+H45)/60),2))</f>
      </c>
    </row>
    <row r="46">
      <c r="I46" s="11">
        <f>IF(OR(G46="",(G46+H46)=0),"",ROUND(F46/((G46+H46)/60),2))</f>
      </c>
    </row>
    <row r="47">
      <c r="I47" s="11">
        <f>IF(OR(G47="",(G47+H47)=0),"",ROUND(F47/((G47+H47)/60),2))</f>
      </c>
    </row>
    <row r="48">
      <c r="I48" s="11">
        <f>IF(OR(G48="",(G48+H48)=0),"",ROUND(F48/((G48+H48)/60),2))</f>
      </c>
    </row>
    <row r="49">
      <c r="I49" s="11">
        <f>IF(OR(G49="",(G49+H49)=0),"",ROUND(F49/((G49+H49)/60),2))</f>
      </c>
    </row>
    <row r="50">
      <c r="I50" s="11">
        <f>IF(OR(G50="",(G50+H50)=0),"",ROUND(F50/((G50+H50)/60),2))</f>
      </c>
    </row>
    <row r="51">
      <c r="I51" s="11">
        <f>IF(OR(G51="",(G51+H51)=0),"",ROUND(F51/((G51+H51)/60),2))</f>
      </c>
    </row>
    <row r="52">
      <c r="I52" s="11">
        <f>IF(OR(G52="",(G52+H52)=0),"",ROUND(F52/((G52+H52)/60),2))</f>
      </c>
    </row>
    <row r="53">
      <c r="I53" s="11">
        <f>IF(OR(G53="",(G53+H53)=0),"",ROUND(F53/((G53+H53)/60),2))</f>
      </c>
    </row>
    <row r="54">
      <c r="I54" s="11">
        <f>IF(OR(G54="",(G54+H54)=0),"",ROUND(F54/((G54+H54)/60),2))</f>
      </c>
    </row>
    <row r="55">
      <c r="I55" s="11">
        <f>IF(OR(G55="",(G55+H55)=0),"",ROUND(F55/((G55+H55)/60),2))</f>
      </c>
    </row>
    <row r="56">
      <c r="I56" s="11">
        <f>IF(OR(G56="",(G56+H56)=0),"",ROUND(F56/((G56+H56)/60),2))</f>
      </c>
    </row>
    <row r="57">
      <c r="I57" s="11">
        <f>IF(OR(G57="",(G57+H57)=0),"",ROUND(F57/((G57+H57)/60),2))</f>
      </c>
    </row>
    <row r="58">
      <c r="I58" s="11">
        <f>IF(OR(G58="",(G58+H58)=0),"",ROUND(F58/((G58+H58)/60),2))</f>
      </c>
    </row>
    <row r="59">
      <c r="I59" s="11">
        <f>IF(OR(G59="",(G59+H59)=0),"",ROUND(F59/((G59+H59)/60),2))</f>
      </c>
    </row>
    <row r="60">
      <c r="I60" s="11">
        <f>IF(OR(G60="",(G60+H60)=0),"",ROUND(F60/((G60+H60)/60),2))</f>
      </c>
    </row>
    <row r="61">
      <c r="I61" s="11">
        <f>IF(OR(G61="",(G61+H61)=0),"",ROUND(F61/((G61+H61)/60),2))</f>
      </c>
    </row>
    <row r="62">
      <c r="I62" s="11">
        <f>IF(OR(G62="",(G62+H62)=0),"",ROUND(F62/((G62+H62)/60),2))</f>
      </c>
    </row>
    <row r="63">
      <c r="I63" s="11">
        <f>IF(OR(G63="",(G63+H63)=0),"",ROUND(F63/((G63+H63)/60),2))</f>
      </c>
    </row>
    <row r="64">
      <c r="I64" s="11">
        <f>IF(OR(G64="",(G64+H64)=0),"",ROUND(F64/((G64+H64)/60),2))</f>
      </c>
    </row>
    <row r="65">
      <c r="I65" s="11">
        <f>IF(OR(G65="",(G65+H65)=0),"",ROUND(F65/((G65+H65)/60),2))</f>
      </c>
    </row>
    <row r="66">
      <c r="I66" s="11">
        <f>IF(OR(G66="",(G66+H66)=0),"",ROUND(F66/((G66+H66)/60),2))</f>
      </c>
    </row>
    <row r="67">
      <c r="I67" s="11">
        <f>IF(OR(G67="",(G67+H67)=0),"",ROUND(F67/((G67+H67)/60),2))</f>
      </c>
    </row>
    <row r="68">
      <c r="I68" s="11">
        <f>IF(OR(G68="",(G68+H68)=0),"",ROUND(F68/((G68+H68)/60),2))</f>
      </c>
    </row>
    <row r="69">
      <c r="I69" s="11">
        <f>IF(OR(G69="",(G69+H69)=0),"",ROUND(F69/((G69+H69)/60),2))</f>
      </c>
    </row>
    <row r="70">
      <c r="I70" s="11">
        <f>IF(OR(G70="",(G70+H70)=0),"",ROUND(F70/((G70+H70)/60),2))</f>
      </c>
    </row>
    <row r="71">
      <c r="I71" s="11">
        <f>IF(OR(G71="",(G71+H71)=0),"",ROUND(F71/((G71+H71)/60),2))</f>
      </c>
    </row>
    <row r="72">
      <c r="I72" s="11">
        <f>IF(OR(G72="",(G72+H72)=0),"",ROUND(F72/((G72+H72)/60),2))</f>
      </c>
    </row>
    <row r="73">
      <c r="I73" s="11">
        <f>IF(OR(G73="",(G73+H73)=0),"",ROUND(F73/((G73+H73)/60),2))</f>
      </c>
    </row>
    <row r="74">
      <c r="I74" s="11">
        <f>IF(OR(G74="",(G74+H74)=0),"",ROUND(F74/((G74+H74)/60),2))</f>
      </c>
    </row>
    <row r="75">
      <c r="I75" s="11">
        <f>IF(OR(G75="",(G75+H75)=0),"",ROUND(F75/((G75+H75)/60),2))</f>
      </c>
    </row>
    <row r="76">
      <c r="I76" s="11">
        <f>IF(OR(G76="",(G76+H76)=0),"",ROUND(F76/((G76+H76)/60),2))</f>
      </c>
    </row>
    <row r="77">
      <c r="I77" s="11">
        <f>IF(OR(G77="",(G77+H77)=0),"",ROUND(F77/((G77+H77)/60),2))</f>
      </c>
    </row>
    <row r="78">
      <c r="I78" s="11">
        <f>IF(OR(G78="",(G78+H78)=0),"",ROUND(F78/((G78+H78)/60),2))</f>
      </c>
    </row>
    <row r="79">
      <c r="I79" s="11">
        <f>IF(OR(G79="",(G79+H79)=0),"",ROUND(F79/((G79+H79)/60),2))</f>
      </c>
    </row>
    <row r="80">
      <c r="I80" s="11">
        <f>IF(OR(G80="",(G80+H80)=0),"",ROUND(F80/((G80+H80)/60),2))</f>
      </c>
    </row>
    <row r="81">
      <c r="I81" s="11">
        <f>IF(OR(G81="",(G81+H81)=0),"",ROUND(F81/((G81+H81)/60),2))</f>
      </c>
    </row>
    <row r="82">
      <c r="I82" s="11">
        <f>IF(OR(G82="",(G82+H82)=0),"",ROUND(F82/((G82+H82)/60),2))</f>
      </c>
    </row>
    <row r="83">
      <c r="I83" s="11">
        <f>IF(OR(G83="",(G83+H83)=0),"",ROUND(F83/((G83+H83)/60),2))</f>
      </c>
    </row>
    <row r="84">
      <c r="I84" s="11">
        <f>IF(OR(G84="",(G84+H84)=0),"",ROUND(F84/((G84+H84)/60),2))</f>
      </c>
    </row>
    <row r="85">
      <c r="I85" s="11">
        <f>IF(OR(G85="",(G85+H85)=0),"",ROUND(F85/((G85+H85)/60),2))</f>
      </c>
    </row>
    <row r="86">
      <c r="I86" s="11">
        <f>IF(OR(G86="",(G86+H86)=0),"",ROUND(F86/((G86+H86)/60),2))</f>
      </c>
    </row>
    <row r="87">
      <c r="I87" s="11">
        <f>IF(OR(G87="",(G87+H87)=0),"",ROUND(F87/((G87+H87)/60),2))</f>
      </c>
    </row>
    <row r="88">
      <c r="I88" s="11">
        <f>IF(OR(G88="",(G88+H88)=0),"",ROUND(F88/((G88+H88)/60),2))</f>
      </c>
    </row>
    <row r="89">
      <c r="I89" s="11">
        <f>IF(OR(G89="",(G89+H89)=0),"",ROUND(F89/((G89+H89)/60),2))</f>
      </c>
    </row>
    <row r="90">
      <c r="I90" s="11">
        <f>IF(OR(G90="",(G90+H90)=0),"",ROUND(F90/((G90+H90)/60),2))</f>
      </c>
    </row>
    <row r="91">
      <c r="I91" s="11">
        <f>IF(OR(G91="",(G91+H91)=0),"",ROUND(F91/((G91+H91)/60),2))</f>
      </c>
    </row>
    <row r="92">
      <c r="I92" s="11">
        <f>IF(OR(G92="",(G92+H92)=0),"",ROUND(F92/((G92+H92)/60),2))</f>
      </c>
    </row>
    <row r="93">
      <c r="I93" s="11">
        <f>IF(OR(G93="",(G93+H93)=0),"",ROUND(F93/((G93+H93)/60),2))</f>
      </c>
    </row>
    <row r="94">
      <c r="I94" s="11">
        <f>IF(OR(G94="",(G94+H94)=0),"",ROUND(F94/((G94+H94)/60),2))</f>
      </c>
    </row>
    <row r="95">
      <c r="I95" s="11">
        <f>IF(OR(G95="",(G95+H95)=0),"",ROUND(F95/((G95+H95)/60),2))</f>
      </c>
    </row>
    <row r="96">
      <c r="I96" s="11">
        <f>IF(OR(G96="",(G96+H96)=0),"",ROUND(F96/((G96+H96)/60),2))</f>
      </c>
    </row>
    <row r="97">
      <c r="I97" s="11">
        <f>IF(OR(G97="",(G97+H97)=0),"",ROUND(F97/((G97+H97)/60),2))</f>
      </c>
    </row>
    <row r="98">
      <c r="I98" s="11">
        <f>IF(OR(G98="",(G98+H98)=0),"",ROUND(F98/((G98+H98)/60),2))</f>
      </c>
    </row>
    <row r="99">
      <c r="I99" s="11">
        <f>IF(OR(G99="",(G99+H99)=0),"",ROUND(F99/((G99+H99)/60),2))</f>
      </c>
    </row>
    <row r="100">
      <c r="I100" s="11">
        <f>IF(OR(G100="",(G100+H100)=0),"",ROUND(F100/((G100+H100)/60),2))</f>
      </c>
    </row>
    <row r="101">
      <c r="I101" s="11">
        <f>IF(OR(G101="",(G101+H101)=0),"",ROUND(F101/((G101+H101)/60),2))</f>
      </c>
    </row>
    <row r="102">
      <c r="I102" s="11">
        <f>IF(OR(G102="",(G102+H102)=0),"",ROUND(F102/((G102+H102)/60),2))</f>
      </c>
    </row>
    <row r="103">
      <c r="I103" s="11">
        <f>IF(OR(G103="",(G103+H103)=0),"",ROUND(F103/((G103+H103)/60),2))</f>
      </c>
    </row>
    <row r="104">
      <c r="I104" s="11">
        <f>IF(OR(G104="",(G104+H104)=0),"",ROUND(F104/((G104+H104)/60),2))</f>
      </c>
    </row>
    <row r="105">
      <c r="I105" s="11">
        <f>IF(OR(G105="",(G105+H105)=0),"",ROUND(F105/((G105+H105)/60),2))</f>
      </c>
    </row>
    <row r="106">
      <c r="I106" s="11">
        <f>IF(OR(G106="",(G106+H106)=0),"",ROUND(F106/((G106+H106)/60),2))</f>
      </c>
    </row>
    <row r="107">
      <c r="I107" s="11">
        <f>IF(OR(G107="",(G107+H107)=0),"",ROUND(F107/((G107+H107)/60),2))</f>
      </c>
    </row>
    <row r="108">
      <c r="I108" s="11">
        <f>IF(OR(G108="",(G108+H108)=0),"",ROUND(F108/((G108+H108)/60),2))</f>
      </c>
    </row>
    <row r="109">
      <c r="I109" s="11">
        <f>IF(OR(G109="",(G109+H109)=0),"",ROUND(F109/((G109+H109)/60),2))</f>
      </c>
    </row>
    <row r="110">
      <c r="I110" s="11">
        <f>IF(OR(G110="",(G110+H110)=0),"",ROUND(F110/((G110+H110)/60),2))</f>
      </c>
    </row>
    <row r="111">
      <c r="I111" s="11">
        <f>IF(OR(G111="",(G111+H111)=0),"",ROUND(F111/((G111+H111)/60),2))</f>
      </c>
    </row>
    <row r="112">
      <c r="I112" s="11">
        <f>IF(OR(G112="",(G112+H112)=0),"",ROUND(F112/((G112+H112)/60),2))</f>
      </c>
    </row>
    <row r="113">
      <c r="I113" s="11">
        <f>IF(OR(G113="",(G113+H113)=0),"",ROUND(F113/((G113+H113)/60),2))</f>
      </c>
    </row>
    <row r="114">
      <c r="I114" s="11">
        <f>IF(OR(G114="",(G114+H114)=0),"",ROUND(F114/((G114+H114)/60),2))</f>
      </c>
    </row>
    <row r="115">
      <c r="I115" s="11">
        <f>IF(OR(G115="",(G115+H115)=0),"",ROUND(F115/((G115+H115)/60),2))</f>
      </c>
    </row>
    <row r="116">
      <c r="I116" s="11">
        <f>IF(OR(G116="",(G116+H116)=0),"",ROUND(F116/((G116+H116)/60),2))</f>
      </c>
    </row>
    <row r="117">
      <c r="I117" s="11">
        <f>IF(OR(G117="",(G117+H117)=0),"",ROUND(F117/((G117+H117)/60),2))</f>
      </c>
    </row>
    <row r="118">
      <c r="I118" s="11">
        <f>IF(OR(G118="",(G118+H118)=0),"",ROUND(F118/((G118+H118)/60),2))</f>
      </c>
    </row>
    <row r="119">
      <c r="I119" s="11">
        <f>IF(OR(G119="",(G119+H119)=0),"",ROUND(F119/((G119+H119)/60),2))</f>
      </c>
    </row>
    <row r="120">
      <c r="I120" s="11">
        <f>IF(OR(G120="",(G120+H120)=0),"",ROUND(F120/((G120+H120)/60),2))</f>
      </c>
    </row>
    <row r="121">
      <c r="I121" s="11">
        <f>IF(OR(G121="",(G121+H121)=0),"",ROUND(F121/((G121+H121)/60),2))</f>
      </c>
    </row>
    <row r="122">
      <c r="I122" s="11">
        <f>IF(OR(G122="",(G122+H122)=0),"",ROUND(F122/((G122+H122)/60),2))</f>
      </c>
    </row>
    <row r="123">
      <c r="I123" s="11">
        <f>IF(OR(G123="",(G123+H123)=0),"",ROUND(F123/((G123+H123)/60),2))</f>
      </c>
    </row>
    <row r="124">
      <c r="I124" s="11">
        <f>IF(OR(G124="",(G124+H124)=0),"",ROUND(F124/((G124+H124)/60),2))</f>
      </c>
    </row>
    <row r="125">
      <c r="I125" s="11">
        <f>IF(OR(G125="",(G125+H125)=0),"",ROUND(F125/((G125+H125)/60),2))</f>
      </c>
    </row>
    <row r="126">
      <c r="I126" s="11">
        <f>IF(OR(G126="",(G126+H126)=0),"",ROUND(F126/((G126+H126)/60),2))</f>
      </c>
    </row>
    <row r="127">
      <c r="I127" s="11">
        <f>IF(OR(G127="",(G127+H127)=0),"",ROUND(F127/((G127+H127)/60),2))</f>
      </c>
    </row>
    <row r="128">
      <c r="I128" s="11">
        <f>IF(OR(G128="",(G128+H128)=0),"",ROUND(F128/((G128+H128)/60),2))</f>
      </c>
    </row>
    <row r="129">
      <c r="I129" s="11">
        <f>IF(OR(G129="",(G129+H129)=0),"",ROUND(F129/((G129+H129)/60),2))</f>
      </c>
    </row>
    <row r="130">
      <c r="I130" s="11">
        <f>IF(OR(G130="",(G130+H130)=0),"",ROUND(F130/((G130+H130)/60),2))</f>
      </c>
    </row>
    <row r="131">
      <c r="I131" s="11">
        <f>IF(OR(G131="",(G131+H131)=0),"",ROUND(F131/((G131+H131)/60),2))</f>
      </c>
    </row>
    <row r="132">
      <c r="I132" s="11">
        <f>IF(OR(G132="",(G132+H132)=0),"",ROUND(F132/((G132+H132)/60),2))</f>
      </c>
    </row>
    <row r="133">
      <c r="I133" s="11">
        <f>IF(OR(G133="",(G133+H133)=0),"",ROUND(F133/((G133+H133)/60),2))</f>
      </c>
    </row>
    <row r="134">
      <c r="I134" s="11">
        <f>IF(OR(G134="",(G134+H134)=0),"",ROUND(F134/((G134+H134)/60),2))</f>
      </c>
    </row>
    <row r="135">
      <c r="I135" s="11">
        <f>IF(OR(G135="",(G135+H135)=0),"",ROUND(F135/((G135+H135)/60),2))</f>
      </c>
    </row>
    <row r="136">
      <c r="I136" s="11">
        <f>IF(OR(G136="",(G136+H136)=0),"",ROUND(F136/((G136+H136)/60),2))</f>
      </c>
    </row>
    <row r="137">
      <c r="I137" s="11">
        <f>IF(OR(G137="",(G137+H137)=0),"",ROUND(F137/((G137+H137)/60),2))</f>
      </c>
    </row>
    <row r="138">
      <c r="I138" s="11">
        <f>IF(OR(G138="",(G138+H138)=0),"",ROUND(F138/((G138+H138)/60),2))</f>
      </c>
    </row>
    <row r="139">
      <c r="I139" s="11">
        <f>IF(OR(G139="",(G139+H139)=0),"",ROUND(F139/((G139+H139)/60),2))</f>
      </c>
    </row>
    <row r="140">
      <c r="I140" s="11">
        <f>IF(OR(G140="",(G140+H140)=0),"",ROUND(F140/((G140+H140)/60),2))</f>
      </c>
    </row>
    <row r="141">
      <c r="I141" s="11">
        <f>IF(OR(G141="",(G141+H141)=0),"",ROUND(F141/((G141+H141)/60),2))</f>
      </c>
    </row>
    <row r="142">
      <c r="I142" s="11">
        <f>IF(OR(G142="",(G142+H142)=0),"",ROUND(F142/((G142+H142)/60),2))</f>
      </c>
    </row>
    <row r="143">
      <c r="I143" s="11">
        <f>IF(OR(G143="",(G143+H143)=0),"",ROUND(F143/((G143+H143)/60),2))</f>
      </c>
    </row>
    <row r="144">
      <c r="I144" s="11">
        <f>IF(OR(G144="",(G144+H144)=0),"",ROUND(F144/((G144+H144)/60),2))</f>
      </c>
    </row>
    <row r="145">
      <c r="I145" s="11">
        <f>IF(OR(G145="",(G145+H145)=0),"",ROUND(F145/((G145+H145)/60),2))</f>
      </c>
    </row>
    <row r="146">
      <c r="I146" s="11">
        <f>IF(OR(G146="",(G146+H146)=0),"",ROUND(F146/((G146+H146)/60),2))</f>
      </c>
    </row>
    <row r="147">
      <c r="I147" s="11">
        <f>IF(OR(G147="",(G147+H147)=0),"",ROUND(F147/((G147+H147)/60),2))</f>
      </c>
    </row>
    <row r="148">
      <c r="I148" s="11">
        <f>IF(OR(G148="",(G148+H148)=0),"",ROUND(F148/((G148+H148)/60),2))</f>
      </c>
    </row>
    <row r="149">
      <c r="I149" s="11">
        <f>IF(OR(G149="",(G149+H149)=0),"",ROUND(F149/((G149+H149)/60),2))</f>
      </c>
    </row>
    <row r="150">
      <c r="I150" s="11">
        <f>IF(OR(G150="",(G150+H150)=0),"",ROUND(F150/((G150+H150)/60),2))</f>
      </c>
    </row>
    <row r="151">
      <c r="I151" s="11">
        <f>IF(OR(G151="",(G151+H151)=0),"",ROUND(F151/((G151+H151)/60),2))</f>
      </c>
    </row>
    <row r="152">
      <c r="I152" s="11">
        <f>IF(OR(G152="",(G152+H152)=0),"",ROUND(F152/((G152+H152)/60),2))</f>
      </c>
    </row>
    <row r="153">
      <c r="I153" s="11">
        <f>IF(OR(G153="",(G153+H153)=0),"",ROUND(F153/((G153+H153)/60),2))</f>
      </c>
    </row>
    <row r="154">
      <c r="I154" s="11">
        <f>IF(OR(G154="",(G154+H154)=0),"",ROUND(F154/((G154+H154)/60),2))</f>
      </c>
    </row>
    <row r="155">
      <c r="I155" s="11">
        <f>IF(OR(G155="",(G155+H155)=0),"",ROUND(F155/((G155+H155)/60),2))</f>
      </c>
    </row>
    <row r="156">
      <c r="I156" s="11">
        <f>IF(OR(G156="",(G156+H156)=0),"",ROUND(F156/((G156+H156)/60),2))</f>
      </c>
    </row>
    <row r="157">
      <c r="I157" s="11">
        <f>IF(OR(G157="",(G157+H157)=0),"",ROUND(F157/((G157+H157)/60),2))</f>
      </c>
    </row>
    <row r="158">
      <c r="I158" s="11">
        <f>IF(OR(G158="",(G158+H158)=0),"",ROUND(F158/((G158+H158)/60),2))</f>
      </c>
    </row>
    <row r="159">
      <c r="I159" s="11">
        <f>IF(OR(G159="",(G159+H159)=0),"",ROUND(F159/((G159+H159)/60),2))</f>
      </c>
    </row>
    <row r="160">
      <c r="I160" s="11">
        <f>IF(OR(G160="",(G160+H160)=0),"",ROUND(F160/((G160+H160)/60),2))</f>
      </c>
    </row>
    <row r="161">
      <c r="I161" s="11">
        <f>IF(OR(G161="",(G161+H161)=0),"",ROUND(F161/((G161+H161)/60),2))</f>
      </c>
    </row>
    <row r="162">
      <c r="I162" s="11">
        <f>IF(OR(G162="",(G162+H162)=0),"",ROUND(F162/((G162+H162)/60),2))</f>
      </c>
    </row>
    <row r="163">
      <c r="I163" s="11">
        <f>IF(OR(G163="",(G163+H163)=0),"",ROUND(F163/((G163+H163)/60),2))</f>
      </c>
    </row>
    <row r="164">
      <c r="I164" s="11">
        <f>IF(OR(G164="",(G164+H164)=0),"",ROUND(F164/((G164+H164)/60),2))</f>
      </c>
    </row>
    <row r="165">
      <c r="I165" s="11">
        <f>IF(OR(G165="",(G165+H165)=0),"",ROUND(F165/((G165+H165)/60),2))</f>
      </c>
    </row>
    <row r="166">
      <c r="I166" s="11">
        <f>IF(OR(G166="",(G166+H166)=0),"",ROUND(F166/((G166+H166)/60),2))</f>
      </c>
    </row>
    <row r="167">
      <c r="I167" s="11">
        <f>IF(OR(G167="",(G167+H167)=0),"",ROUND(F167/((G167+H167)/60),2))</f>
      </c>
    </row>
    <row r="168">
      <c r="I168" s="11">
        <f>IF(OR(G168="",(G168+H168)=0),"",ROUND(F168/((G168+H168)/60),2))</f>
      </c>
    </row>
    <row r="169">
      <c r="I169" s="11">
        <f>IF(OR(G169="",(G169+H169)=0),"",ROUND(F169/((G169+H169)/60),2))</f>
      </c>
    </row>
    <row r="170">
      <c r="I170" s="11">
        <f>IF(OR(G170="",(G170+H170)=0),"",ROUND(F170/((G170+H170)/60),2))</f>
      </c>
    </row>
    <row r="171">
      <c r="I171" s="11">
        <f>IF(OR(G171="",(G171+H171)=0),"",ROUND(F171/((G171+H171)/60),2))</f>
      </c>
    </row>
    <row r="172">
      <c r="I172" s="11">
        <f>IF(OR(G172="",(G172+H172)=0),"",ROUND(F172/((G172+H172)/60),2))</f>
      </c>
    </row>
    <row r="173">
      <c r="I173" s="11">
        <f>IF(OR(G173="",(G173+H173)=0),"",ROUND(F173/((G173+H173)/60),2))</f>
      </c>
    </row>
    <row r="174">
      <c r="I174" s="11">
        <f>IF(OR(G174="",(G174+H174)=0),"",ROUND(F174/((G174+H174)/60),2))</f>
      </c>
    </row>
    <row r="175">
      <c r="I175" s="11">
        <f>IF(OR(G175="",(G175+H175)=0),"",ROUND(F175/((G175+H175)/60),2))</f>
      </c>
    </row>
    <row r="176">
      <c r="I176" s="11">
        <f>IF(OR(G176="",(G176+H176)=0),"",ROUND(F176/((G176+H176)/60),2))</f>
      </c>
    </row>
    <row r="177">
      <c r="I177" s="11">
        <f>IF(OR(G177="",(G177+H177)=0),"",ROUND(F177/((G177+H177)/60),2))</f>
      </c>
    </row>
    <row r="178">
      <c r="I178" s="11">
        <f>IF(OR(G178="",(G178+H178)=0),"",ROUND(F178/((G178+H178)/60),2))</f>
      </c>
    </row>
    <row r="179">
      <c r="I179" s="11">
        <f>IF(OR(G179="",(G179+H179)=0),"",ROUND(F179/((G179+H179)/60),2))</f>
      </c>
    </row>
    <row r="180">
      <c r="I180" s="11">
        <f>IF(OR(G180="",(G180+H180)=0),"",ROUND(F180/((G180+H180)/60),2))</f>
      </c>
    </row>
    <row r="181">
      <c r="I181" s="11">
        <f>IF(OR(G181="",(G181+H181)=0),"",ROUND(F181/((G181+H181)/60),2))</f>
      </c>
    </row>
    <row r="182">
      <c r="I182" s="11">
        <f>IF(OR(G182="",(G182+H182)=0),"",ROUND(F182/((G182+H182)/60),2))</f>
      </c>
    </row>
    <row r="183">
      <c r="I183" s="11">
        <f>IF(OR(G183="",(G183+H183)=0),"",ROUND(F183/((G183+H183)/60),2))</f>
      </c>
    </row>
    <row r="184">
      <c r="I184" s="11">
        <f>IF(OR(G184="",(G184+H184)=0),"",ROUND(F184/((G184+H184)/60),2))</f>
      </c>
    </row>
    <row r="185">
      <c r="I185" s="11">
        <f>IF(OR(G185="",(G185+H185)=0),"",ROUND(F185/((G185+H185)/60),2))</f>
      </c>
    </row>
    <row r="186">
      <c r="I186" s="11">
        <f>IF(OR(G186="",(G186+H186)=0),"",ROUND(F186/((G186+H186)/60),2))</f>
      </c>
    </row>
    <row r="187">
      <c r="I187" s="11">
        <f>IF(OR(G187="",(G187+H187)=0),"",ROUND(F187/((G187+H187)/60),2))</f>
      </c>
    </row>
    <row r="188">
      <c r="I188" s="11">
        <f>IF(OR(G188="",(G188+H188)=0),"",ROUND(F188/((G188+H188)/60),2))</f>
      </c>
    </row>
    <row r="189">
      <c r="I189" s="11">
        <f>IF(OR(G189="",(G189+H189)=0),"",ROUND(F189/((G189+H189)/60),2))</f>
      </c>
    </row>
    <row r="190">
      <c r="I190" s="11">
        <f>IF(OR(G190="",(G190+H190)=0),"",ROUND(F190/((G190+H190)/60),2))</f>
      </c>
    </row>
    <row r="191">
      <c r="I191" s="11">
        <f>IF(OR(G191="",(G191+H191)=0),"",ROUND(F191/((G191+H191)/60),2))</f>
      </c>
    </row>
    <row r="192">
      <c r="I192" s="11">
        <f>IF(OR(G192="",(G192+H192)=0),"",ROUND(F192/((G192+H192)/60),2))</f>
      </c>
    </row>
    <row r="193">
      <c r="I193" s="11">
        <f>IF(OR(G193="",(G193+H193)=0),"",ROUND(F193/((G193+H193)/60),2))</f>
      </c>
    </row>
    <row r="194">
      <c r="I194" s="11">
        <f>IF(OR(G194="",(G194+H194)=0),"",ROUND(F194/((G194+H194)/60),2))</f>
      </c>
    </row>
    <row r="195">
      <c r="I195" s="11">
        <f>IF(OR(G195="",(G195+H195)=0),"",ROUND(F195/((G195+H195)/60),2))</f>
      </c>
    </row>
    <row r="196">
      <c r="I196" s="11">
        <f>IF(OR(G196="",(G196+H196)=0),"",ROUND(F196/((G196+H196)/60),2))</f>
      </c>
    </row>
    <row r="197">
      <c r="I197" s="11">
        <f>IF(OR(G197="",(G197+H197)=0),"",ROUND(F197/((G197+H197)/60),2))</f>
      </c>
    </row>
    <row r="198">
      <c r="I198" s="11">
        <f>IF(OR(G198="",(G198+H198)=0),"",ROUND(F198/((G198+H198)/60),2))</f>
      </c>
    </row>
    <row r="199">
      <c r="I199" s="11">
        <f>IF(OR(G199="",(G199+H199)=0),"",ROUND(F199/((G199+H199)/60),2))</f>
      </c>
    </row>
    <row r="200">
      <c r="I200" s="11">
        <f>IF(OR(G200="",(G200+H200)=0),"",ROUND(F200/((G200+H200)/60),2))</f>
      </c>
    </row>
    <row r="201">
      <c r="I201" s="11">
        <f>IF(OR(G201="",(G201+H201)=0),"",ROUND(F201/((G201+H201)/60),2))</f>
      </c>
    </row>
    <row r="202">
      <c r="I202" s="11">
        <f>IF(OR(G202="",(G202+H202)=0),"",ROUND(F202/((G202+H202)/60),2))</f>
      </c>
    </row>
    <row r="203">
      <c r="I203" s="11">
        <f>IF(OR(G203="",(G203+H203)=0),"",ROUND(F203/((G203+H203)/60),2))</f>
      </c>
    </row>
    <row r="204">
      <c r="I204" s="11">
        <f>IF(OR(G204="",(G204+H204)=0),"",ROUND(F204/((G204+H204)/60),2))</f>
      </c>
    </row>
    <row r="205">
      <c r="I205" s="11">
        <f>IF(OR(G205="",(G205+H205)=0),"",ROUND(F205/((G205+H205)/60),2))</f>
      </c>
    </row>
    <row r="206">
      <c r="I206" s="11">
        <f>IF(OR(G206="",(G206+H206)=0),"",ROUND(F206/((G206+H206)/60),2))</f>
      </c>
    </row>
    <row r="207">
      <c r="I207" s="11">
        <f>IF(OR(G207="",(G207+H207)=0),"",ROUND(F207/((G207+H207)/60),2))</f>
      </c>
    </row>
    <row r="208">
      <c r="I208" s="11">
        <f>IF(OR(G208="",(G208+H208)=0),"",ROUND(F208/((G208+H208)/60),2))</f>
      </c>
    </row>
    <row r="209">
      <c r="I209" s="11">
        <f>IF(OR(G209="",(G209+H209)=0),"",ROUND(F209/((G209+H209)/60),2))</f>
      </c>
    </row>
    <row r="210">
      <c r="I210" s="11">
        <f>IF(OR(G210="",(G210+H210)=0),"",ROUND(F210/((G210+H210)/60),2))</f>
      </c>
    </row>
    <row r="211">
      <c r="I211" s="11">
        <f>IF(OR(G211="",(G211+H211)=0),"",ROUND(F211/((G211+H211)/60),2))</f>
      </c>
    </row>
    <row r="212">
      <c r="I212" s="11">
        <f>IF(OR(G212="",(G212+H212)=0),"",ROUND(F212/((G212+H212)/60),2))</f>
      </c>
    </row>
    <row r="213">
      <c r="I213" s="11">
        <f>IF(OR(G213="",(G213+H213)=0),"",ROUND(F213/((G213+H213)/60),2))</f>
      </c>
    </row>
    <row r="214">
      <c r="I214" s="11">
        <f>IF(OR(G214="",(G214+H214)=0),"",ROUND(F214/((G214+H214)/60),2))</f>
      </c>
    </row>
    <row r="215">
      <c r="I215" s="11">
        <f>IF(OR(G215="",(G215+H215)=0),"",ROUND(F215/((G215+H215)/60),2))</f>
      </c>
    </row>
    <row r="216">
      <c r="I216" s="11">
        <f>IF(OR(G216="",(G216+H216)=0),"",ROUND(F216/((G216+H216)/60),2))</f>
      </c>
    </row>
    <row r="217">
      <c r="I217" s="11">
        <f>IF(OR(G217="",(G217+H217)=0),"",ROUND(F217/((G217+H217)/60),2))</f>
      </c>
    </row>
    <row r="218">
      <c r="I218" s="11">
        <f>IF(OR(G218="",(G218+H218)=0),"",ROUND(F218/((G218+H218)/60),2))</f>
      </c>
    </row>
    <row r="219">
      <c r="I219" s="11">
        <f>IF(OR(G219="",(G219+H219)=0),"",ROUND(F219/((G219+H219)/60),2))</f>
      </c>
    </row>
    <row r="220">
      <c r="I220" s="11">
        <f>IF(OR(G220="",(G220+H220)=0),"",ROUND(F220/((G220+H220)/60),2))</f>
      </c>
    </row>
    <row r="221">
      <c r="I221" s="11">
        <f>IF(OR(G221="",(G221+H221)=0),"",ROUND(F221/((G221+H221)/60),2))</f>
      </c>
    </row>
    <row r="222">
      <c r="I222" s="11">
        <f>IF(OR(G222="",(G222+H222)=0),"",ROUND(F222/((G222+H222)/60),2))</f>
      </c>
    </row>
    <row r="223">
      <c r="I223" s="11">
        <f>IF(OR(G223="",(G223+H223)=0),"",ROUND(F223/((G223+H223)/60),2))</f>
      </c>
    </row>
    <row r="224">
      <c r="I224" s="11">
        <f>IF(OR(G224="",(G224+H224)=0),"",ROUND(F224/((G224+H224)/60),2))</f>
      </c>
    </row>
    <row r="225">
      <c r="I225" s="11">
        <f>IF(OR(G225="",(G225+H225)=0),"",ROUND(F225/((G225+H225)/60),2))</f>
      </c>
    </row>
    <row r="226">
      <c r="I226" s="11">
        <f>IF(OR(G226="",(G226+H226)=0),"",ROUND(F226/((G226+H226)/60),2))</f>
      </c>
    </row>
    <row r="227">
      <c r="I227" s="11">
        <f>IF(OR(G227="",(G227+H227)=0),"",ROUND(F227/((G227+H227)/60),2))</f>
      </c>
    </row>
    <row r="228">
      <c r="I228" s="11">
        <f>IF(OR(G228="",(G228+H228)=0),"",ROUND(F228/((G228+H228)/60),2))</f>
      </c>
    </row>
    <row r="229">
      <c r="I229" s="11">
        <f>IF(OR(G229="",(G229+H229)=0),"",ROUND(F229/((G229+H229)/60),2))</f>
      </c>
    </row>
    <row r="230">
      <c r="I230" s="11">
        <f>IF(OR(G230="",(G230+H230)=0),"",ROUND(F230/((G230+H230)/60),2))</f>
      </c>
    </row>
    <row r="231">
      <c r="I231" s="11">
        <f>IF(OR(G231="",(G231+H231)=0),"",ROUND(F231/((G231+H231)/60),2))</f>
      </c>
    </row>
    <row r="232">
      <c r="I232" s="11">
        <f>IF(OR(G232="",(G232+H232)=0),"",ROUND(F232/((G232+H232)/60),2))</f>
      </c>
    </row>
    <row r="233">
      <c r="I233" s="11">
        <f>IF(OR(G233="",(G233+H233)=0),"",ROUND(F233/((G233+H233)/60),2))</f>
      </c>
    </row>
    <row r="234">
      <c r="I234" s="11">
        <f>IF(OR(G234="",(G234+H234)=0),"",ROUND(F234/((G234+H234)/60),2))</f>
      </c>
    </row>
    <row r="235">
      <c r="I235" s="11">
        <f>IF(OR(G235="",(G235+H235)=0),"",ROUND(F235/((G235+H235)/60),2))</f>
      </c>
    </row>
    <row r="236">
      <c r="I236" s="11">
        <f>IF(OR(G236="",(G236+H236)=0),"",ROUND(F236/((G236+H236)/60),2))</f>
      </c>
    </row>
    <row r="237">
      <c r="I237" s="11">
        <f>IF(OR(G237="",(G237+H237)=0),"",ROUND(F237/((G237+H237)/60),2))</f>
      </c>
    </row>
    <row r="238">
      <c r="I238" s="11">
        <f>IF(OR(G238="",(G238+H238)=0),"",ROUND(F238/((G238+H238)/60),2))</f>
      </c>
    </row>
    <row r="239">
      <c r="I239" s="11">
        <f>IF(OR(G239="",(G239+H239)=0),"",ROUND(F239/((G239+H239)/60),2))</f>
      </c>
    </row>
    <row r="240">
      <c r="I240" s="11">
        <f>IF(OR(G240="",(G240+H240)=0),"",ROUND(F240/((G240+H240)/60),2))</f>
      </c>
    </row>
    <row r="241">
      <c r="I241" s="11">
        <f>IF(OR(G241="",(G241+H241)=0),"",ROUND(F241/((G241+H241)/60),2))</f>
      </c>
    </row>
    <row r="242">
      <c r="I242" s="11">
        <f>IF(OR(G242="",(G242+H242)=0),"",ROUND(F242/((G242+H242)/60),2))</f>
      </c>
    </row>
    <row r="243">
      <c r="I243" s="11">
        <f>IF(OR(G243="",(G243+H243)=0),"",ROUND(F243/((G243+H243)/60),2))</f>
      </c>
    </row>
    <row r="244">
      <c r="I244" s="11">
        <f>IF(OR(G244="",(G244+H244)=0),"",ROUND(F244/((G244+H244)/60),2))</f>
      </c>
    </row>
    <row r="245">
      <c r="I245" s="11">
        <f>IF(OR(G245="",(G245+H245)=0),"",ROUND(F245/((G245+H245)/60),2))</f>
      </c>
    </row>
    <row r="246">
      <c r="I246" s="11">
        <f>IF(OR(G246="",(G246+H246)=0),"",ROUND(F246/((G246+H246)/60),2))</f>
      </c>
    </row>
    <row r="247">
      <c r="I247" s="11">
        <f>IF(OR(G247="",(G247+H247)=0),"",ROUND(F247/((G247+H247)/60),2))</f>
      </c>
    </row>
    <row r="248">
      <c r="I248" s="11">
        <f>IF(OR(G248="",(G248+H248)=0),"",ROUND(F248/((G248+H248)/60),2))</f>
      </c>
    </row>
    <row r="249">
      <c r="I249" s="11">
        <f>IF(OR(G249="",(G249+H249)=0),"",ROUND(F249/((G249+H249)/60),2))</f>
      </c>
    </row>
    <row r="250">
      <c r="I250" s="11">
        <f>IF(OR(G250="",(G250+H250)=0),"",ROUND(F250/((G250+H250)/60),2))</f>
      </c>
    </row>
    <row r="251">
      <c r="I251" s="11">
        <f>IF(OR(G251="",(G251+H251)=0),"",ROUND(F251/((G251+H251)/60),2))</f>
      </c>
    </row>
    <row r="252">
      <c r="I252" s="11">
        <f>IF(OR(G252="",(G252+H252)=0),"",ROUND(F252/((G252+H252)/60),2))</f>
      </c>
    </row>
    <row r="253">
      <c r="I253" s="11">
        <f>IF(OR(G253="",(G253+H253)=0),"",ROUND(F253/((G253+H253)/60),2))</f>
      </c>
    </row>
    <row r="254">
      <c r="I254" s="11">
        <f>IF(OR(G254="",(G254+H254)=0),"",ROUND(F254/((G254+H254)/60),2))</f>
      </c>
    </row>
    <row r="255">
      <c r="I255" s="11">
        <f>IF(OR(G255="",(G255+H255)=0),"",ROUND(F255/((G255+H255)/60),2))</f>
      </c>
    </row>
    <row r="256">
      <c r="I256" s="11">
        <f>IF(OR(G256="",(G256+H256)=0),"",ROUND(F256/((G256+H256)/60),2))</f>
      </c>
    </row>
    <row r="257">
      <c r="I257" s="11">
        <f>IF(OR(G257="",(G257+H257)=0),"",ROUND(F257/((G257+H257)/60),2))</f>
      </c>
    </row>
    <row r="258">
      <c r="I258" s="11">
        <f>IF(OR(G258="",(G258+H258)=0),"",ROUND(F258/((G258+H258)/60),2))</f>
      </c>
    </row>
    <row r="259">
      <c r="I259" s="11">
        <f>IF(OR(G259="",(G259+H259)=0),"",ROUND(F259/((G259+H259)/60),2))</f>
      </c>
    </row>
    <row r="260">
      <c r="I260" s="11">
        <f>IF(OR(G260="",(G260+H260)=0),"",ROUND(F260/((G260+H260)/60),2))</f>
      </c>
    </row>
    <row r="261">
      <c r="I261" s="11">
        <f>IF(OR(G261="",(G261+H261)=0),"",ROUND(F261/((G261+H261)/60),2))</f>
      </c>
    </row>
    <row r="262">
      <c r="I262" s="11">
        <f>IF(OR(G262="",(G262+H262)=0),"",ROUND(F262/((G262+H262)/60),2))</f>
      </c>
    </row>
    <row r="263">
      <c r="I263" s="11">
        <f>IF(OR(G263="",(G263+H263)=0),"",ROUND(F263/((G263+H263)/60),2))</f>
      </c>
    </row>
    <row r="264">
      <c r="I264" s="11">
        <f>IF(OR(G264="",(G264+H264)=0),"",ROUND(F264/((G264+H264)/60),2))</f>
      </c>
    </row>
    <row r="265">
      <c r="I265" s="11">
        <f>IF(OR(G265="",(G265+H265)=0),"",ROUND(F265/((G265+H265)/60),2))</f>
      </c>
    </row>
    <row r="266">
      <c r="I266" s="11">
        <f>IF(OR(G266="",(G266+H266)=0),"",ROUND(F266/((G266+H266)/60),2))</f>
      </c>
    </row>
    <row r="267">
      <c r="I267" s="11">
        <f>IF(OR(G267="",(G267+H267)=0),"",ROUND(F267/((G267+H267)/60),2))</f>
      </c>
    </row>
    <row r="268">
      <c r="I268" s="11">
        <f>IF(OR(G268="",(G268+H268)=0),"",ROUND(F268/((G268+H268)/60),2))</f>
      </c>
    </row>
    <row r="269">
      <c r="I269" s="11">
        <f>IF(OR(G269="",(G269+H269)=0),"",ROUND(F269/((G269+H269)/60),2))</f>
      </c>
    </row>
    <row r="270">
      <c r="I270" s="11">
        <f>IF(OR(G270="",(G270+H270)=0),"",ROUND(F270/((G270+H270)/60),2))</f>
      </c>
    </row>
    <row r="271">
      <c r="I271" s="11">
        <f>IF(OR(G271="",(G271+H271)=0),"",ROUND(F271/((G271+H271)/60),2))</f>
      </c>
    </row>
    <row r="272">
      <c r="I272" s="11">
        <f>IF(OR(G272="",(G272+H272)=0),"",ROUND(F272/((G272+H272)/60),2))</f>
      </c>
    </row>
    <row r="273">
      <c r="I273" s="11">
        <f>IF(OR(G273="",(G273+H273)=0),"",ROUND(F273/((G273+H273)/60),2))</f>
      </c>
    </row>
    <row r="274">
      <c r="I274" s="11">
        <f>IF(OR(G274="",(G274+H274)=0),"",ROUND(F274/((G274+H274)/60),2))</f>
      </c>
    </row>
    <row r="275">
      <c r="I275" s="11">
        <f>IF(OR(G275="",(G275+H275)=0),"",ROUND(F275/((G275+H275)/60),2))</f>
      </c>
    </row>
    <row r="276">
      <c r="I276" s="11">
        <f>IF(OR(G276="",(G276+H276)=0),"",ROUND(F276/((G276+H276)/60),2))</f>
      </c>
    </row>
    <row r="277">
      <c r="I277" s="11">
        <f>IF(OR(G277="",(G277+H277)=0),"",ROUND(F277/((G277+H277)/60),2))</f>
      </c>
    </row>
    <row r="278">
      <c r="I278" s="11">
        <f>IF(OR(G278="",(G278+H278)=0),"",ROUND(F278/((G278+H278)/60),2))</f>
      </c>
    </row>
    <row r="279">
      <c r="I279" s="11">
        <f>IF(OR(G279="",(G279+H279)=0),"",ROUND(F279/((G279+H279)/60),2))</f>
      </c>
    </row>
    <row r="280">
      <c r="I280" s="11">
        <f>IF(OR(G280="",(G280+H280)=0),"",ROUND(F280/((G280+H280)/60),2))</f>
      </c>
    </row>
    <row r="281">
      <c r="I281" s="11">
        <f>IF(OR(G281="",(G281+H281)=0),"",ROUND(F281/((G281+H281)/60),2))</f>
      </c>
    </row>
    <row r="282">
      <c r="I282" s="11">
        <f>IF(OR(G282="",(G282+H282)=0),"",ROUND(F282/((G282+H282)/60),2))</f>
      </c>
    </row>
    <row r="283">
      <c r="I283" s="11">
        <f>IF(OR(G283="",(G283+H283)=0),"",ROUND(F283/((G283+H283)/60),2))</f>
      </c>
    </row>
    <row r="284">
      <c r="I284" s="11">
        <f>IF(OR(G284="",(G284+H284)=0),"",ROUND(F284/((G284+H284)/60),2))</f>
      </c>
    </row>
    <row r="285">
      <c r="I285" s="11">
        <f>IF(OR(G285="",(G285+H285)=0),"",ROUND(F285/((G285+H285)/60),2))</f>
      </c>
    </row>
    <row r="286">
      <c r="I286" s="11">
        <f>IF(OR(G286="",(G286+H286)=0),"",ROUND(F286/((G286+H286)/60),2))</f>
      </c>
    </row>
    <row r="287">
      <c r="I287" s="11">
        <f>IF(OR(G287="",(G287+H287)=0),"",ROUND(F287/((G287+H287)/60),2))</f>
      </c>
    </row>
    <row r="288">
      <c r="I288" s="11">
        <f>IF(OR(G288="",(G288+H288)=0),"",ROUND(F288/((G288+H288)/60),2))</f>
      </c>
    </row>
    <row r="289">
      <c r="I289" s="11">
        <f>IF(OR(G289="",(G289+H289)=0),"",ROUND(F289/((G289+H289)/60),2))</f>
      </c>
    </row>
    <row r="290">
      <c r="I290" s="11">
        <f>IF(OR(G290="",(G290+H290)=0),"",ROUND(F290/((G290+H290)/60),2))</f>
      </c>
    </row>
    <row r="291">
      <c r="I291" s="11">
        <f>IF(OR(G291="",(G291+H291)=0),"",ROUND(F291/((G291+H291)/60),2))</f>
      </c>
    </row>
    <row r="292">
      <c r="I292" s="11">
        <f>IF(OR(G292="",(G292+H292)=0),"",ROUND(F292/((G292+H292)/60),2))</f>
      </c>
    </row>
    <row r="293">
      <c r="I293" s="11">
        <f>IF(OR(G293="",(G293+H293)=0),"",ROUND(F293/((G293+H293)/60),2))</f>
      </c>
    </row>
    <row r="294">
      <c r="I294" s="11">
        <f>IF(OR(G294="",(G294+H294)=0),"",ROUND(F294/((G294+H294)/60),2))</f>
      </c>
    </row>
    <row r="295">
      <c r="I295" s="11">
        <f>IF(OR(G295="",(G295+H295)=0),"",ROUND(F295/((G295+H295)/60),2))</f>
      </c>
    </row>
    <row r="296">
      <c r="I296" s="11">
        <f>IF(OR(G296="",(G296+H296)=0),"",ROUND(F296/((G296+H296)/60),2))</f>
      </c>
    </row>
    <row r="297">
      <c r="I297" s="11">
        <f>IF(OR(G297="",(G297+H297)=0),"",ROUND(F297/((G297+H297)/60),2))</f>
      </c>
    </row>
    <row r="298">
      <c r="I298" s="11">
        <f>IF(OR(G298="",(G298+H298)=0),"",ROUND(F298/((G298+H298)/60),2))</f>
      </c>
    </row>
    <row r="299">
      <c r="I299" s="11">
        <f>IF(OR(G299="",(G299+H299)=0),"",ROUND(F299/((G299+H299)/60),2))</f>
      </c>
    </row>
    <row r="300">
      <c r="I300" s="11">
        <f>IF(OR(G300="",(G300+H300)=0),"",ROUND(F300/((G300+H300)/60),2))</f>
      </c>
    </row>
  </sheetData>
  <autoFilter ref="A1:L300"/>
  <conditionalFormatting sqref="I2:I300">
    <cfRule type="cellIs" dxfId="1" priority="1" operator="lessThan">
      <formula>50</formula>
    </cfRule>
    <cfRule type="cellIs" dxfId="0" priority="2" operator="greaterThanOrEqual">
      <formula>70</formula>
    </cfRule>
  </conditionalFormatting>
  <dataValidations count="4">
    <dataValidation type="list" allowBlank="1" showInputMessage="1" showErrorMessage="1" sqref="D2:D300">
      <formula1>"Monday,Tuesday,Wednesday,Thursday,Friday,Saturday"</formula1>
    </dataValidation>
    <dataValidation type="list" allowBlank="1" showInputMessage="1" showErrorMessage="1" sqref="E2:E300">
      <formula1>"Weekly,Biweekly,Monthly"</formula1>
    </dataValidation>
    <dataValidation type="list" allowBlank="1" showInputMessage="1" showErrorMessage="1" sqref="J2:J300">
      <formula1>"Monthly,Per visit,Seasonal"</formula1>
    </dataValidation>
    <dataValidation type="list" allowBlank="1" showInputMessage="1" showErrorMessage="1" sqref="K2:K300">
      <formula1>"Active,Paused,Cancelled"</formula1>
    </dataValidation>
  </dataValidations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22" customWidth="1"/>
    <col min="2" max="2" width="14" customWidth="1"/>
    <col min="3" max="3" width="16" customWidth="1"/>
    <col min="4" max="4" width="14" customWidth="1"/>
    <col min="5" max="5" width="21" customWidth="1"/>
    <col min="6" max="6" width="12" customWidth="1"/>
  </cols>
  <sheetData>
    <row r="1">
      <c r="A1" s="2" t="inlineStr">
        <is>
          <t xml:space="preserve">ROUTE DAY BOARD</t>
        </is>
      </c>
      <c r="B1" s="2" t="inlineStr">
        <is>
          <t xml:space="preserve"/>
        </is>
      </c>
      <c r="C1" s="2" t="inlineStr">
        <is>
          <t xml:space="preserve"/>
        </is>
      </c>
      <c r="D1" s="2" t="inlineStr">
        <is>
          <t xml:space="preserve"/>
        </is>
      </c>
      <c r="E1" s="2" t="inlineStr">
        <is>
          <t xml:space="preserve"/>
        </is>
      </c>
      <c r="F1" s="2" t="inlineStr">
        <is>
          <t xml:space="preserve"/>
        </is>
      </c>
    </row>
    <row r="2">
      <c r="A2" s="3" t="inlineStr">
        <is>
          <t xml:space="preserve">Day</t>
        </is>
      </c>
      <c r="B2" s="3" t="inlineStr">
        <is>
          <t xml:space="preserve">Active Stops</t>
        </is>
      </c>
      <c r="C2" s="3" t="inlineStr">
        <is>
          <t xml:space="preserve">Revenue/Visit</t>
        </is>
      </c>
      <c r="D2" s="3" t="inlineStr">
        <is>
          <t xml:space="preserve">On-site Hrs</t>
        </is>
      </c>
      <c r="E2" s="3" t="inlineStr">
        <is>
          <t xml:space="preserve">Total Hrs (incl drive)</t>
        </is>
      </c>
      <c r="F2" s="3" t="inlineStr">
        <is>
          <t xml:space="preserve">$/hr</t>
        </is>
      </c>
    </row>
    <row r="3">
      <c r="A3" s="3" t="inlineStr">
        <is>
          <t xml:space="preserve">Monday</t>
        </is>
      </c>
      <c r="B3" s="9">
        <f>COUNTIFS(Clients!D2:D300,A3,Clients!K2:K300,"Active")</f>
      </c>
      <c r="C3" s="11">
        <f>SUMIFS(Clients!F2:F300,Clients!D2:D300,A3,Clients!K2:K300,"Active")</f>
      </c>
      <c r="D3" s="10">
        <f>ROUND(SUMIFS(Clients!G2:G300,Clients!D2:D300,A3,Clients!K2:K300,"Active")/60,2)</f>
      </c>
      <c r="E3" s="10">
        <f>ROUND((SUMIFS(Clients!G2:G300,Clients!D2:D300,A3,Clients!K2:K300,"Active")+SUMIFS(Clients!H2:H300,Clients!D2:D300,A3,Clients!K2:K300,"Active"))/60,2)</f>
      </c>
      <c r="F3" s="11">
        <f>IF(E3=0,"",ROUND(C3/E3,2))</f>
      </c>
    </row>
    <row r="4">
      <c r="A4" s="3" t="inlineStr">
        <is>
          <t xml:space="preserve">Tuesday</t>
        </is>
      </c>
      <c r="B4" s="9">
        <f>COUNTIFS(Clients!D2:D300,A4,Clients!K2:K300,"Active")</f>
      </c>
      <c r="C4" s="11">
        <f>SUMIFS(Clients!F2:F300,Clients!D2:D300,A4,Clients!K2:K300,"Active")</f>
      </c>
      <c r="D4" s="10">
        <f>ROUND(SUMIFS(Clients!G2:G300,Clients!D2:D300,A4,Clients!K2:K300,"Active")/60,2)</f>
      </c>
      <c r="E4" s="10">
        <f>ROUND((SUMIFS(Clients!G2:G300,Clients!D2:D300,A4,Clients!K2:K300,"Active")+SUMIFS(Clients!H2:H300,Clients!D2:D300,A4,Clients!K2:K300,"Active"))/60,2)</f>
      </c>
      <c r="F4" s="11">
        <f>IF(E4=0,"",ROUND(C4/E4,2))</f>
      </c>
    </row>
    <row r="5">
      <c r="A5" s="3" t="inlineStr">
        <is>
          <t xml:space="preserve">Wednesday</t>
        </is>
      </c>
      <c r="B5" s="9">
        <f>COUNTIFS(Clients!D2:D300,A5,Clients!K2:K300,"Active")</f>
      </c>
      <c r="C5" s="11">
        <f>SUMIFS(Clients!F2:F300,Clients!D2:D300,A5,Clients!K2:K300,"Active")</f>
      </c>
      <c r="D5" s="10">
        <f>ROUND(SUMIFS(Clients!G2:G300,Clients!D2:D300,A5,Clients!K2:K300,"Active")/60,2)</f>
      </c>
      <c r="E5" s="10">
        <f>ROUND((SUMIFS(Clients!G2:G300,Clients!D2:D300,A5,Clients!K2:K300,"Active")+SUMIFS(Clients!H2:H300,Clients!D2:D300,A5,Clients!K2:K300,"Active"))/60,2)</f>
      </c>
      <c r="F5" s="11">
        <f>IF(E5=0,"",ROUND(C5/E5,2))</f>
      </c>
    </row>
    <row r="6">
      <c r="A6" s="3" t="inlineStr">
        <is>
          <t xml:space="preserve">Thursday</t>
        </is>
      </c>
      <c r="B6" s="9">
        <f>COUNTIFS(Clients!D2:D300,A6,Clients!K2:K300,"Active")</f>
      </c>
      <c r="C6" s="11">
        <f>SUMIFS(Clients!F2:F300,Clients!D2:D300,A6,Clients!K2:K300,"Active")</f>
      </c>
      <c r="D6" s="10">
        <f>ROUND(SUMIFS(Clients!G2:G300,Clients!D2:D300,A6,Clients!K2:K300,"Active")/60,2)</f>
      </c>
      <c r="E6" s="10">
        <f>ROUND((SUMIFS(Clients!G2:G300,Clients!D2:D300,A6,Clients!K2:K300,"Active")+SUMIFS(Clients!H2:H300,Clients!D2:D300,A6,Clients!K2:K300,"Active"))/60,2)</f>
      </c>
      <c r="F6" s="11">
        <f>IF(E6=0,"",ROUND(C6/E6,2))</f>
      </c>
    </row>
    <row r="7">
      <c r="A7" s="3" t="inlineStr">
        <is>
          <t xml:space="preserve">Friday</t>
        </is>
      </c>
      <c r="B7" s="9">
        <f>COUNTIFS(Clients!D2:D300,A7,Clients!K2:K300,"Active")</f>
      </c>
      <c r="C7" s="11">
        <f>SUMIFS(Clients!F2:F300,Clients!D2:D300,A7,Clients!K2:K300,"Active")</f>
      </c>
      <c r="D7" s="10">
        <f>ROUND(SUMIFS(Clients!G2:G300,Clients!D2:D300,A7,Clients!K2:K300,"Active")/60,2)</f>
      </c>
      <c r="E7" s="10">
        <f>ROUND((SUMIFS(Clients!G2:G300,Clients!D2:D300,A7,Clients!K2:K300,"Active")+SUMIFS(Clients!H2:H300,Clients!D2:D300,A7,Clients!K2:K300,"Active"))/60,2)</f>
      </c>
      <c r="F7" s="11">
        <f>IF(E7=0,"",ROUND(C7/E7,2))</f>
      </c>
    </row>
    <row r="8">
      <c r="A8" s="3" t="inlineStr">
        <is>
          <t xml:space="preserve">Saturday</t>
        </is>
      </c>
      <c r="B8" s="9">
        <f>COUNTIFS(Clients!D2:D300,A8,Clients!K2:K300,"Active")</f>
      </c>
      <c r="C8" s="11">
        <f>SUMIFS(Clients!F2:F300,Clients!D2:D300,A8,Clients!K2:K300,"Active")</f>
      </c>
      <c r="D8" s="10">
        <f>ROUND(SUMIFS(Clients!G2:G300,Clients!D2:D300,A8,Clients!K2:K300,"Active")/60,2)</f>
      </c>
      <c r="E8" s="10">
        <f>ROUND((SUMIFS(Clients!G2:G300,Clients!D2:D300,A8,Clients!K2:K300,"Active")+SUMIFS(Clients!H2:H300,Clients!D2:D300,A8,Clients!K2:K300,"Active"))/60,2)</f>
      </c>
      <c r="F8" s="11">
        <f>IF(E8=0,"",ROUND(C8/E8,2))</f>
      </c>
    </row>
    <row r="10">
      <c r="A10" s="3" t="inlineStr">
        <is>
          <t xml:space="preserve">TOTALS</t>
        </is>
      </c>
      <c r="B10" s="9">
        <f>SUM(B3:B8)</f>
      </c>
      <c r="C10" s="11">
        <f>SUM(C3:C8)</f>
      </c>
      <c r="D10" s="10">
        <f>SUM(D3:D8)</f>
      </c>
      <c r="E10" s="10">
        <f>SUM(E3:E8)</f>
      </c>
      <c r="F10" s="11">
        <f>IF(E10=0,"",ROUND(C10/E10,2))</f>
      </c>
    </row>
    <row r="12">
      <c r="A12" s="3" t="inlineStr">
        <is>
          <t xml:space="preserve">Weekly revenue (weekly clients)</t>
        </is>
      </c>
      <c r="B12" s="11">
        <f>SUMIFS(Clients!F2:F300,Clients!E2:E300,"Weekly",Clients!K2:K300,"Active")</f>
      </c>
    </row>
    <row r="13">
      <c r="A13" s="3" t="inlineStr">
        <is>
          <t xml:space="preserve">Monthly recurring estimate</t>
        </is>
      </c>
      <c r="B13" s="11">
        <f>ROUND(SUMIFS(Clients!F2:F300,Clients!E2:E300,"Weekly",Clients!K2:K300,"Active")*4.33+SUMIFS(Clients!F2:F300,Clients!E2:E300,"Biweekly",Clients!K2:K300,"Active")*2.17+SUMIFS(Clients!F2:F300,Clients!E2:E300,"Monthly",Clients!K2:K300,"Active"),2)</f>
      </c>
    </row>
    <row r="15">
      <c r="A15" s="14" t="inlineStr">
        <is>
          <t xml:space="preserve">Any day showing under $50/hr is being carried by your good days. Either raise those prices, tighten the stops, or move them to a day where they're on the way.</t>
        </is>
      </c>
    </row>
  </sheetData>
  <mergeCells count="2">
    <mergeCell ref="A1:F1"/>
    <mergeCell ref="A15:F15"/>
  </mergeCells>
  <conditionalFormatting sqref="F3:F8">
    <cfRule type="cellIs" dxfId="1" priority="1" operator="lessThan">
      <formula>50</formula>
    </cfRule>
    <cfRule type="cellIs" dxfId="0" priority="2" operator="greaterThanOrEqual">
      <formula>70</formula>
    </cfRule>
  </conditionalFormatting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  <col min="3" max="3" width="54" customWidth="1"/>
  </cols>
  <sheetData>
    <row r="1">
      <c r="A1" s="2" t="inlineStr">
        <is>
          <t xml:space="preserve">ROUTE DENSITY — the number that decides this business</t>
        </is>
      </c>
      <c r="B1" s="2" t="inlineStr">
        <is>
          <t xml:space="preserve"/>
        </is>
      </c>
      <c r="C1" s="2" t="inlineStr">
        <is>
          <t xml:space="preserve"/>
        </is>
      </c>
    </row>
    <row r="3">
      <c r="A3" s="3" t="inlineStr">
        <is>
          <t xml:space="preserve">Active clients</t>
        </is>
      </c>
      <c r="B3" s="9">
        <f>COUNTIF(Clients!K2:K300,"Active")</f>
      </c>
    </row>
    <row r="4">
      <c r="A4" s="3" t="inlineStr">
        <is>
          <t xml:space="preserve">Total on-site hours per week</t>
        </is>
      </c>
      <c r="B4" s="10">
        <f>ROUND(SUMIF(Clients!K2:K300,"Active",Clients!G2:G300)/60,2)</f>
      </c>
    </row>
    <row r="5">
      <c r="A5" s="3" t="inlineStr">
        <is>
          <t xml:space="preserve">Total drive hours per week</t>
        </is>
      </c>
      <c r="B5" s="10">
        <f>ROUND(SUMIF(Clients!K2:K300,"Active",Clients!H2:H300)/60,2)</f>
      </c>
    </row>
    <row r="6">
      <c r="A6" s="3" t="inlineStr">
        <is>
          <t xml:space="preserve">Drive time as % of the day</t>
        </is>
      </c>
      <c r="B6" s="12">
        <f>IF((B4+B5)=0,"",B5/(B4+B5))</f>
      </c>
      <c r="C6" s="14" t="inlineStr">
        <is>
          <t xml:space="preserve">Under 15% is a tight route. Over 25% means you're being paid to drive, which nobody is.</t>
        </is>
      </c>
    </row>
    <row r="7">
      <c r="A7" s="3" t="inlineStr">
        <is>
          <t xml:space="preserve">Average drive between stops (min)</t>
        </is>
      </c>
      <c r="B7" s="10">
        <f>IFERROR(ROUND(SUMIF(Clients!K2:K300,"Active",Clients!H2:H300)/B3,1),"")</f>
      </c>
    </row>
    <row r="8">
      <c r="A8" s="3" t="inlineStr">
        <is>
          <t xml:space="preserve">Average stop value</t>
        </is>
      </c>
      <c r="B8" s="11">
        <f>IFERROR(ROUND(SUMIF(Clients!K2:K300,"Active",Clients!F2:F300)/B3,2),"")</f>
      </c>
    </row>
    <row r="9">
      <c r="A9" s="3" t="inlineStr">
        <is>
          <t xml:space="preserve">Blended $/hr (incl. drive)</t>
        </is>
      </c>
      <c r="B9" s="11">
        <f>IF((B4+B5)=0,"",ROUND(SUMIF(Clients!K2:K300,"Active",Clients!F2:F300)/(B4+B5),2))</f>
      </c>
    </row>
    <row r="11">
      <c r="A11" s="2" t="inlineStr">
        <is>
          <t xml:space="preserve">WHAT TO DO WITH THIS</t>
        </is>
      </c>
      <c r="B11" s="2" t="inlineStr">
        <is>
          <t xml:space="preserve"/>
        </is>
      </c>
      <c r="C11" s="2" t="inlineStr">
        <is>
          <t xml:space="preserve"/>
        </is>
      </c>
    </row>
    <row r="12">
      <c r="A12" s="14" t="inlineStr">
        <is>
          <t xml:space="preserve">If drive time is over 25%: stop taking scattered work. Fill in around the clients you already have — door hangers on the same street, a neighbor discount, and a polite 'not yet' to anyone across town. Density is worth more than the discount costs you.</t>
        </is>
      </c>
    </row>
    <row r="15">
      <c r="A15" s="14" t="inlineStr">
        <is>
          <t xml:space="preserve">If blended $/hr is under your target: it is almost never the mowing that's slow. It's drive time, trim time on obstacle-heavy yards, and stops priced years ago that never got raised. Raise prices annually — every year you don't is a pay cut.</t>
        </is>
      </c>
    </row>
  </sheetData>
  <mergeCells count="4">
    <mergeCell ref="A1:C1"/>
    <mergeCell ref="A11:C11"/>
    <mergeCell ref="A12:C14"/>
    <mergeCell ref="A15:C17"/>
  </mergeCells>
</worksheet>
</file>