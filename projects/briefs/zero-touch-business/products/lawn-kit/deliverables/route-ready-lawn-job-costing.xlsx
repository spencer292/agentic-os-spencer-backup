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Visit Log" sheetId="2" r:id="rId2"/>
    <sheet name="Cost Rates" sheetId="3" r:id="rId3"/>
  </sheets>
  <calcPr calcId="171027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0"/>
    <numFmt numFmtId="166" formatCode="mmm\ yyyy"/>
    <numFmt numFmtId="167" formatCode="mmm"/>
    <numFmt numFmtId="168" formatCode="yyyy\-mm\-dd"/>
  </numFmts>
  <fonts count="5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1A7F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NumberFormat="1" applyFont="1" applyFill="1"/>
    <xf numFmtId="0" fontId="4" fillId="0" borderId="0" xfId="0" applyNumberFormat="1" applyFont="1" applyFill="1"/>
    <xf numFmtId="0" fontId="2" fillId="4" borderId="0" xfId="0" applyNumberFormat="1" applyFont="1" applyFill="1"/>
    <xf numFmtId="0" fontId="1" fillId="0" borderId="0" xfId="0" applyNumberFormat="1" applyFont="1" applyFill="1"/>
    <xf numFmtId="0" fontId="0" fillId="2" borderId="0" xfId="0" applyNumberFormat="1" applyFont="1" applyFill="1"/>
    <xf numFmtId="165" fontId="0" fillId="2" borderId="0" xfId="0" applyNumberFormat="1" applyFont="1" applyFill="1"/>
    <xf numFmtId="164" fontId="0" fillId="2" borderId="0" xfId="0" applyNumberFormat="1" applyFont="1" applyFill="1"/>
    <xf numFmtId="168" fontId="0" fillId="2" borderId="0" xfId="0" applyNumberFormat="1" applyFont="1" applyFill="1"/>
    <xf numFmtId="1" fontId="0" fillId="2" borderId="0" xfId="0" applyNumberFormat="1" applyFont="1" applyFill="1"/>
    <xf numFmtId="0" fontId="0" fillId="3" borderId="0" xfId="0" applyNumberFormat="1" applyFont="1" applyFill="1"/>
    <xf numFmtId="165" fontId="0" fillId="3" borderId="0" xfId="0" applyNumberFormat="1" applyFont="1" applyFill="1"/>
    <xf numFmtId="164" fontId="0" fillId="3" borderId="0" xfId="0" applyNumberFormat="1" applyFont="1" applyFill="1"/>
    <xf numFmtId="9" fontId="0" fillId="3" borderId="0" xfId="0" applyNumberFormat="1" applyFont="1" applyFill="1"/>
    <xf numFmtId="166" fontId="0" fillId="3" borderId="0" xfId="0" applyNumberFormat="1" applyFont="1" applyFill="1"/>
    <xf numFmtId="0" fontId="3" fillId="0" borderId="0" xfId="0" applyNumberFormat="1" applyFont="1" applyFill="1" applyAlignment="1">
      <alignment wrapText="1"/>
    </xf>
    <xf numFmtId="0" fontId="0" fillId="0" borderId="0" xfId="0" applyNumberFormat="1" applyFont="1" applyFill="1" applyAlignment="1">
      <alignment wrapText="1" vertical="top"/>
    </xf>
    <xf numFmtId="167" fontId="2" fillId="4" borderId="0" xfId="0" applyNumberFormat="1" applyFont="1" applyFill="1"/>
    <xf numFmtId="0" fontId="0" fillId="3" borderId="0" xfId="0" applyNumberFormat="1" applyFont="1" applyFill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FF0000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s="15" t="inlineStr">
        <is>
          <t xml:space="preserve">Job Costing — how to use
Quoting is a guess. Job costing is the truth. After a visit, put the ACTUAL numbers in and find out what that stop really paid.
Do this for a full month across your whole route. The pattern that shows up will surprise you — usually a handful of long-standing clients whose price hasn't moved in three years are quietly the worst-paying stops on the route.
Those are the ones to raise first. Use the price-increase letter in File 12; it's written for exactly this conversation.
Convention: yellow cells = inputs (type here), green cells = outputs (never type here).</t>
        </is>
      </c>
    </row>
  </sheetData>
  <mergeCells count="1">
    <mergeCell ref="A1:F14"/>
  </mergeCell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20" customWidth="1"/>
    <col min="3" max="3" width="18" customWidth="1"/>
    <col min="4" max="4" width="11" customWidth="1"/>
    <col min="5" max="5" width="12" customWidth="1"/>
    <col min="6" max="6" width="10" customWidth="1"/>
    <col min="7" max="7" width="10" customWidth="1"/>
    <col min="8" max="8" width="13" customWidth="1"/>
    <col min="9" max="9" width="13" customWidth="1"/>
    <col min="10" max="10" width="16" customWidth="1"/>
    <col min="11" max="11" width="13" customWidth="1"/>
    <col min="12" max="12" width="11" customWidth="1"/>
    <col min="13" max="13" width="10" customWidth="1"/>
    <col min="14" max="14" width="11" customWidth="1"/>
  </cols>
  <sheetData>
    <row r="1">
      <c r="A1" s="2" t="inlineStr">
        <is>
          <t xml:space="preserve">Date</t>
        </is>
      </c>
      <c r="B1" s="2" t="inlineStr">
        <is>
          <t xml:space="preserve">Client</t>
        </is>
      </c>
      <c r="C1" s="2" t="inlineStr">
        <is>
          <t xml:space="preserve">Service</t>
        </is>
      </c>
      <c r="D1" s="2" t="inlineStr">
        <is>
          <t xml:space="preserve">Price ($)</t>
        </is>
      </c>
      <c r="E1" s="2" t="inlineStr">
        <is>
          <t xml:space="preserve">On-site Min</t>
        </is>
      </c>
      <c r="F1" s="2" t="inlineStr">
        <is>
          <t xml:space="preserve">Drive Min</t>
        </is>
      </c>
      <c r="G1" s="2" t="inlineStr">
        <is>
          <t xml:space="preserve">Fuel ($)</t>
        </is>
      </c>
      <c r="H1" s="2" t="inlineStr">
        <is>
          <t xml:space="preserve">Materials ($)</t>
        </is>
      </c>
      <c r="I1" s="2" t="inlineStr">
        <is>
          <t xml:space="preserve">Labor Cost ($)</t>
        </is>
      </c>
      <c r="J1" s="2" t="inlineStr">
        <is>
          <t xml:space="preserve">Equip Reserve ($)</t>
        </is>
      </c>
      <c r="K1" s="2" t="inlineStr">
        <is>
          <t xml:space="preserve">Total Cost ($)</t>
        </is>
      </c>
      <c r="L1" s="2" t="inlineStr">
        <is>
          <t xml:space="preserve">Profit ($)</t>
        </is>
      </c>
      <c r="M1" s="2" t="inlineStr">
        <is>
          <t xml:space="preserve">Margin</t>
        </is>
      </c>
      <c r="N1" s="2" t="inlineStr">
        <is>
          <t xml:space="preserve">True $/hr</t>
        </is>
      </c>
    </row>
    <row r="2">
      <c r="A2" s="7">
        <v>46209</v>
      </c>
      <c r="B2" s="4" t="inlineStr">
        <is>
          <t xml:space="preserve">Okafor, D.</t>
        </is>
      </c>
      <c r="C2" s="4" t="inlineStr">
        <is>
          <t xml:space="preserve">Mow/Trim/Edge</t>
        </is>
      </c>
      <c r="D2" s="6">
        <v>55</v>
      </c>
      <c r="E2" s="8">
        <v>34</v>
      </c>
      <c r="F2" s="8">
        <v>6</v>
      </c>
      <c r="G2" s="6">
        <v>4.5</v>
      </c>
      <c r="I2" s="11">
        <f>IF(E2="","",ROUND(((E2+F2)/60)*'Cost Rates'!$B$3,2))</f>
      </c>
      <c r="J2" s="11">
        <f>IF(D2="","",'Cost Rates'!$B$4)</f>
      </c>
      <c r="K2" s="11">
        <f>IF(D2="","",SUM(G2,H2,I2,J2))</f>
      </c>
      <c r="L2" s="11">
        <f>IF(D2="","",D2-K2)</f>
      </c>
      <c r="M2" s="12">
        <f>IF(OR(D2="",D2=0),"",L2/D2)</f>
      </c>
      <c r="N2" s="11">
        <f>IF((E2+F2)=0,"",ROUND(L2/((E2+F2)/60),2))</f>
      </c>
    </row>
    <row r="3">
      <c r="A3" s="7">
        <v>46209</v>
      </c>
      <c r="B3" s="4" t="inlineStr">
        <is>
          <t xml:space="preserve">Ruiz, M.</t>
        </is>
      </c>
      <c r="C3" s="4" t="inlineStr">
        <is>
          <t xml:space="preserve">Mow/Trim/Edge</t>
        </is>
      </c>
      <c r="D3" s="6">
        <v>65</v>
      </c>
      <c r="E3" s="8">
        <v>41</v>
      </c>
      <c r="F3" s="8">
        <v>2</v>
      </c>
      <c r="G3" s="6">
        <v>4.5</v>
      </c>
      <c r="I3" s="11">
        <f>IF(E3="","",ROUND(((E3+F3)/60)*'Cost Rates'!$B$3,2))</f>
      </c>
      <c r="J3" s="11">
        <f>IF(D3="","",'Cost Rates'!$B$4)</f>
      </c>
      <c r="K3" s="11">
        <f>IF(D3="","",SUM(G3,H3,I3,J3))</f>
      </c>
      <c r="L3" s="11">
        <f>IF(D3="","",D3-K3)</f>
      </c>
      <c r="M3" s="12">
        <f>IF(OR(D3="",D3=0),"",L3/D3)</f>
      </c>
      <c r="N3" s="11">
        <f>IF((E3+F3)=0,"",ROUND(L3/((E3+F3)/60),2))</f>
      </c>
    </row>
    <row r="4">
      <c r="I4" s="11">
        <f>IF(E4="","",ROUND(((E4+F4)/60)*'Cost Rates'!$B$3,2))</f>
      </c>
      <c r="J4" s="11">
        <f>IF(D4="","",'Cost Rates'!$B$4)</f>
      </c>
      <c r="K4" s="11">
        <f>IF(D4="","",SUM(G4,H4,I4,J4))</f>
      </c>
      <c r="L4" s="11">
        <f>IF(D4="","",D4-K4)</f>
      </c>
      <c r="M4" s="12">
        <f>IF(OR(D4="",D4=0),"",L4/D4)</f>
      </c>
      <c r="N4" s="11">
        <f>IF((E4+F4)=0,"",ROUND(L4/((E4+F4)/60),2))</f>
      </c>
    </row>
    <row r="5">
      <c r="I5" s="11">
        <f>IF(E5="","",ROUND(((E5+F5)/60)*'Cost Rates'!$B$3,2))</f>
      </c>
      <c r="J5" s="11">
        <f>IF(D5="","",'Cost Rates'!$B$4)</f>
      </c>
      <c r="K5" s="11">
        <f>IF(D5="","",SUM(G5,H5,I5,J5))</f>
      </c>
      <c r="L5" s="11">
        <f>IF(D5="","",D5-K5)</f>
      </c>
      <c r="M5" s="12">
        <f>IF(OR(D5="",D5=0),"",L5/D5)</f>
      </c>
      <c r="N5" s="11">
        <f>IF((E5+F5)=0,"",ROUND(L5/((E5+F5)/60),2))</f>
      </c>
    </row>
    <row r="6">
      <c r="I6" s="11">
        <f>IF(E6="","",ROUND(((E6+F6)/60)*'Cost Rates'!$B$3,2))</f>
      </c>
      <c r="J6" s="11">
        <f>IF(D6="","",'Cost Rates'!$B$4)</f>
      </c>
      <c r="K6" s="11">
        <f>IF(D6="","",SUM(G6,H6,I6,J6))</f>
      </c>
      <c r="L6" s="11">
        <f>IF(D6="","",D6-K6)</f>
      </c>
      <c r="M6" s="12">
        <f>IF(OR(D6="",D6=0),"",L6/D6)</f>
      </c>
      <c r="N6" s="11">
        <f>IF((E6+F6)=0,"",ROUND(L6/((E6+F6)/60),2))</f>
      </c>
    </row>
    <row r="7">
      <c r="I7" s="11">
        <f>IF(E7="","",ROUND(((E7+F7)/60)*'Cost Rates'!$B$3,2))</f>
      </c>
      <c r="J7" s="11">
        <f>IF(D7="","",'Cost Rates'!$B$4)</f>
      </c>
      <c r="K7" s="11">
        <f>IF(D7="","",SUM(G7,H7,I7,J7))</f>
      </c>
      <c r="L7" s="11">
        <f>IF(D7="","",D7-K7)</f>
      </c>
      <c r="M7" s="12">
        <f>IF(OR(D7="",D7=0),"",L7/D7)</f>
      </c>
      <c r="N7" s="11">
        <f>IF((E7+F7)=0,"",ROUND(L7/((E7+F7)/60),2))</f>
      </c>
    </row>
    <row r="8">
      <c r="I8" s="11">
        <f>IF(E8="","",ROUND(((E8+F8)/60)*'Cost Rates'!$B$3,2))</f>
      </c>
      <c r="J8" s="11">
        <f>IF(D8="","",'Cost Rates'!$B$4)</f>
      </c>
      <c r="K8" s="11">
        <f>IF(D8="","",SUM(G8,H8,I8,J8))</f>
      </c>
      <c r="L8" s="11">
        <f>IF(D8="","",D8-K8)</f>
      </c>
      <c r="M8" s="12">
        <f>IF(OR(D8="",D8=0),"",L8/D8)</f>
      </c>
      <c r="N8" s="11">
        <f>IF((E8+F8)=0,"",ROUND(L8/((E8+F8)/60),2))</f>
      </c>
    </row>
    <row r="9">
      <c r="I9" s="11">
        <f>IF(E9="","",ROUND(((E9+F9)/60)*'Cost Rates'!$B$3,2))</f>
      </c>
      <c r="J9" s="11">
        <f>IF(D9="","",'Cost Rates'!$B$4)</f>
      </c>
      <c r="K9" s="11">
        <f>IF(D9="","",SUM(G9,H9,I9,J9))</f>
      </c>
      <c r="L9" s="11">
        <f>IF(D9="","",D9-K9)</f>
      </c>
      <c r="M9" s="12">
        <f>IF(OR(D9="",D9=0),"",L9/D9)</f>
      </c>
      <c r="N9" s="11">
        <f>IF((E9+F9)=0,"",ROUND(L9/((E9+F9)/60),2))</f>
      </c>
    </row>
    <row r="10">
      <c r="I10" s="11">
        <f>IF(E10="","",ROUND(((E10+F10)/60)*'Cost Rates'!$B$3,2))</f>
      </c>
      <c r="J10" s="11">
        <f>IF(D10="","",'Cost Rates'!$B$4)</f>
      </c>
      <c r="K10" s="11">
        <f>IF(D10="","",SUM(G10,H10,I10,J10))</f>
      </c>
      <c r="L10" s="11">
        <f>IF(D10="","",D10-K10)</f>
      </c>
      <c r="M10" s="12">
        <f>IF(OR(D10="",D10=0),"",L10/D10)</f>
      </c>
      <c r="N10" s="11">
        <f>IF((E10+F10)=0,"",ROUND(L10/((E10+F10)/60),2))</f>
      </c>
    </row>
    <row r="11">
      <c r="I11" s="11">
        <f>IF(E11="","",ROUND(((E11+F11)/60)*'Cost Rates'!$B$3,2))</f>
      </c>
      <c r="J11" s="11">
        <f>IF(D11="","",'Cost Rates'!$B$4)</f>
      </c>
      <c r="K11" s="11">
        <f>IF(D11="","",SUM(G11,H11,I11,J11))</f>
      </c>
      <c r="L11" s="11">
        <f>IF(D11="","",D11-K11)</f>
      </c>
      <c r="M11" s="12">
        <f>IF(OR(D11="",D11=0),"",L11/D11)</f>
      </c>
      <c r="N11" s="11">
        <f>IF((E11+F11)=0,"",ROUND(L11/((E11+F11)/60),2))</f>
      </c>
    </row>
    <row r="12">
      <c r="I12" s="11">
        <f>IF(E12="","",ROUND(((E12+F12)/60)*'Cost Rates'!$B$3,2))</f>
      </c>
      <c r="J12" s="11">
        <f>IF(D12="","",'Cost Rates'!$B$4)</f>
      </c>
      <c r="K12" s="11">
        <f>IF(D12="","",SUM(G12,H12,I12,J12))</f>
      </c>
      <c r="L12" s="11">
        <f>IF(D12="","",D12-K12)</f>
      </c>
      <c r="M12" s="12">
        <f>IF(OR(D12="",D12=0),"",L12/D12)</f>
      </c>
      <c r="N12" s="11">
        <f>IF((E12+F12)=0,"",ROUND(L12/((E12+F12)/60),2))</f>
      </c>
    </row>
    <row r="13">
      <c r="I13" s="11">
        <f>IF(E13="","",ROUND(((E13+F13)/60)*'Cost Rates'!$B$3,2))</f>
      </c>
      <c r="J13" s="11">
        <f>IF(D13="","",'Cost Rates'!$B$4)</f>
      </c>
      <c r="K13" s="11">
        <f>IF(D13="","",SUM(G13,H13,I13,J13))</f>
      </c>
      <c r="L13" s="11">
        <f>IF(D13="","",D13-K13)</f>
      </c>
      <c r="M13" s="12">
        <f>IF(OR(D13="",D13=0),"",L13/D13)</f>
      </c>
      <c r="N13" s="11">
        <f>IF((E13+F13)=0,"",ROUND(L13/((E13+F13)/60),2))</f>
      </c>
    </row>
    <row r="14">
      <c r="I14" s="11">
        <f>IF(E14="","",ROUND(((E14+F14)/60)*'Cost Rates'!$B$3,2))</f>
      </c>
      <c r="J14" s="11">
        <f>IF(D14="","",'Cost Rates'!$B$4)</f>
      </c>
      <c r="K14" s="11">
        <f>IF(D14="","",SUM(G14,H14,I14,J14))</f>
      </c>
      <c r="L14" s="11">
        <f>IF(D14="","",D14-K14)</f>
      </c>
      <c r="M14" s="12">
        <f>IF(OR(D14="",D14=0),"",L14/D14)</f>
      </c>
      <c r="N14" s="11">
        <f>IF((E14+F14)=0,"",ROUND(L14/((E14+F14)/60),2))</f>
      </c>
    </row>
    <row r="15">
      <c r="I15" s="11">
        <f>IF(E15="","",ROUND(((E15+F15)/60)*'Cost Rates'!$B$3,2))</f>
      </c>
      <c r="J15" s="11">
        <f>IF(D15="","",'Cost Rates'!$B$4)</f>
      </c>
      <c r="K15" s="11">
        <f>IF(D15="","",SUM(G15,H15,I15,J15))</f>
      </c>
      <c r="L15" s="11">
        <f>IF(D15="","",D15-K15)</f>
      </c>
      <c r="M15" s="12">
        <f>IF(OR(D15="",D15=0),"",L15/D15)</f>
      </c>
      <c r="N15" s="11">
        <f>IF((E15+F15)=0,"",ROUND(L15/((E15+F15)/60),2))</f>
      </c>
    </row>
    <row r="16">
      <c r="I16" s="11">
        <f>IF(E16="","",ROUND(((E16+F16)/60)*'Cost Rates'!$B$3,2))</f>
      </c>
      <c r="J16" s="11">
        <f>IF(D16="","",'Cost Rates'!$B$4)</f>
      </c>
      <c r="K16" s="11">
        <f>IF(D16="","",SUM(G16,H16,I16,J16))</f>
      </c>
      <c r="L16" s="11">
        <f>IF(D16="","",D16-K16)</f>
      </c>
      <c r="M16" s="12">
        <f>IF(OR(D16="",D16=0),"",L16/D16)</f>
      </c>
      <c r="N16" s="11">
        <f>IF((E16+F16)=0,"",ROUND(L16/((E16+F16)/60),2))</f>
      </c>
    </row>
    <row r="17">
      <c r="I17" s="11">
        <f>IF(E17="","",ROUND(((E17+F17)/60)*'Cost Rates'!$B$3,2))</f>
      </c>
      <c r="J17" s="11">
        <f>IF(D17="","",'Cost Rates'!$B$4)</f>
      </c>
      <c r="K17" s="11">
        <f>IF(D17="","",SUM(G17,H17,I17,J17))</f>
      </c>
      <c r="L17" s="11">
        <f>IF(D17="","",D17-K17)</f>
      </c>
      <c r="M17" s="12">
        <f>IF(OR(D17="",D17=0),"",L17/D17)</f>
      </c>
      <c r="N17" s="11">
        <f>IF((E17+F17)=0,"",ROUND(L17/((E17+F17)/60),2))</f>
      </c>
    </row>
    <row r="18">
      <c r="I18" s="11">
        <f>IF(E18="","",ROUND(((E18+F18)/60)*'Cost Rates'!$B$3,2))</f>
      </c>
      <c r="J18" s="11">
        <f>IF(D18="","",'Cost Rates'!$B$4)</f>
      </c>
      <c r="K18" s="11">
        <f>IF(D18="","",SUM(G18,H18,I18,J18))</f>
      </c>
      <c r="L18" s="11">
        <f>IF(D18="","",D18-K18)</f>
      </c>
      <c r="M18" s="12">
        <f>IF(OR(D18="",D18=0),"",L18/D18)</f>
      </c>
      <c r="N18" s="11">
        <f>IF((E18+F18)=0,"",ROUND(L18/((E18+F18)/60),2))</f>
      </c>
    </row>
    <row r="19">
      <c r="I19" s="11">
        <f>IF(E19="","",ROUND(((E19+F19)/60)*'Cost Rates'!$B$3,2))</f>
      </c>
      <c r="J19" s="11">
        <f>IF(D19="","",'Cost Rates'!$B$4)</f>
      </c>
      <c r="K19" s="11">
        <f>IF(D19="","",SUM(G19,H19,I19,J19))</f>
      </c>
      <c r="L19" s="11">
        <f>IF(D19="","",D19-K19)</f>
      </c>
      <c r="M19" s="12">
        <f>IF(OR(D19="",D19=0),"",L19/D19)</f>
      </c>
      <c r="N19" s="11">
        <f>IF((E19+F19)=0,"",ROUND(L19/((E19+F19)/60),2))</f>
      </c>
    </row>
    <row r="20">
      <c r="I20" s="11">
        <f>IF(E20="","",ROUND(((E20+F20)/60)*'Cost Rates'!$B$3,2))</f>
      </c>
      <c r="J20" s="11">
        <f>IF(D20="","",'Cost Rates'!$B$4)</f>
      </c>
      <c r="K20" s="11">
        <f>IF(D20="","",SUM(G20,H20,I20,J20))</f>
      </c>
      <c r="L20" s="11">
        <f>IF(D20="","",D20-K20)</f>
      </c>
      <c r="M20" s="12">
        <f>IF(OR(D20="",D20=0),"",L20/D20)</f>
      </c>
      <c r="N20" s="11">
        <f>IF((E20+F20)=0,"",ROUND(L20/((E20+F20)/60),2))</f>
      </c>
    </row>
    <row r="21">
      <c r="I21" s="11">
        <f>IF(E21="","",ROUND(((E21+F21)/60)*'Cost Rates'!$B$3,2))</f>
      </c>
      <c r="J21" s="11">
        <f>IF(D21="","",'Cost Rates'!$B$4)</f>
      </c>
      <c r="K21" s="11">
        <f>IF(D21="","",SUM(G21,H21,I21,J21))</f>
      </c>
      <c r="L21" s="11">
        <f>IF(D21="","",D21-K21)</f>
      </c>
      <c r="M21" s="12">
        <f>IF(OR(D21="",D21=0),"",L21/D21)</f>
      </c>
      <c r="N21" s="11">
        <f>IF((E21+F21)=0,"",ROUND(L21/((E21+F21)/60),2))</f>
      </c>
    </row>
    <row r="22">
      <c r="I22" s="11">
        <f>IF(E22="","",ROUND(((E22+F22)/60)*'Cost Rates'!$B$3,2))</f>
      </c>
      <c r="J22" s="11">
        <f>IF(D22="","",'Cost Rates'!$B$4)</f>
      </c>
      <c r="K22" s="11">
        <f>IF(D22="","",SUM(G22,H22,I22,J22))</f>
      </c>
      <c r="L22" s="11">
        <f>IF(D22="","",D22-K22)</f>
      </c>
      <c r="M22" s="12">
        <f>IF(OR(D22="",D22=0),"",L22/D22)</f>
      </c>
      <c r="N22" s="11">
        <f>IF((E22+F22)=0,"",ROUND(L22/((E22+F22)/60),2))</f>
      </c>
    </row>
    <row r="23">
      <c r="I23" s="11">
        <f>IF(E23="","",ROUND(((E23+F23)/60)*'Cost Rates'!$B$3,2))</f>
      </c>
      <c r="J23" s="11">
        <f>IF(D23="","",'Cost Rates'!$B$4)</f>
      </c>
      <c r="K23" s="11">
        <f>IF(D23="","",SUM(G23,H23,I23,J23))</f>
      </c>
      <c r="L23" s="11">
        <f>IF(D23="","",D23-K23)</f>
      </c>
      <c r="M23" s="12">
        <f>IF(OR(D23="",D23=0),"",L23/D23)</f>
      </c>
      <c r="N23" s="11">
        <f>IF((E23+F23)=0,"",ROUND(L23/((E23+F23)/60),2))</f>
      </c>
    </row>
    <row r="24">
      <c r="I24" s="11">
        <f>IF(E24="","",ROUND(((E24+F24)/60)*'Cost Rates'!$B$3,2))</f>
      </c>
      <c r="J24" s="11">
        <f>IF(D24="","",'Cost Rates'!$B$4)</f>
      </c>
      <c r="K24" s="11">
        <f>IF(D24="","",SUM(G24,H24,I24,J24))</f>
      </c>
      <c r="L24" s="11">
        <f>IF(D24="","",D24-K24)</f>
      </c>
      <c r="M24" s="12">
        <f>IF(OR(D24="",D24=0),"",L24/D24)</f>
      </c>
      <c r="N24" s="11">
        <f>IF((E24+F24)=0,"",ROUND(L24/((E24+F24)/60),2))</f>
      </c>
    </row>
    <row r="25">
      <c r="I25" s="11">
        <f>IF(E25="","",ROUND(((E25+F25)/60)*'Cost Rates'!$B$3,2))</f>
      </c>
      <c r="J25" s="11">
        <f>IF(D25="","",'Cost Rates'!$B$4)</f>
      </c>
      <c r="K25" s="11">
        <f>IF(D25="","",SUM(G25,H25,I25,J25))</f>
      </c>
      <c r="L25" s="11">
        <f>IF(D25="","",D25-K25)</f>
      </c>
      <c r="M25" s="12">
        <f>IF(OR(D25="",D25=0),"",L25/D25)</f>
      </c>
      <c r="N25" s="11">
        <f>IF((E25+F25)=0,"",ROUND(L25/((E25+F25)/60),2))</f>
      </c>
    </row>
    <row r="26">
      <c r="I26" s="11">
        <f>IF(E26="","",ROUND(((E26+F26)/60)*'Cost Rates'!$B$3,2))</f>
      </c>
      <c r="J26" s="11">
        <f>IF(D26="","",'Cost Rates'!$B$4)</f>
      </c>
      <c r="K26" s="11">
        <f>IF(D26="","",SUM(G26,H26,I26,J26))</f>
      </c>
      <c r="L26" s="11">
        <f>IF(D26="","",D26-K26)</f>
      </c>
      <c r="M26" s="12">
        <f>IF(OR(D26="",D26=0),"",L26/D26)</f>
      </c>
      <c r="N26" s="11">
        <f>IF((E26+F26)=0,"",ROUND(L26/((E26+F26)/60),2))</f>
      </c>
    </row>
    <row r="27">
      <c r="I27" s="11">
        <f>IF(E27="","",ROUND(((E27+F27)/60)*'Cost Rates'!$B$3,2))</f>
      </c>
      <c r="J27" s="11">
        <f>IF(D27="","",'Cost Rates'!$B$4)</f>
      </c>
      <c r="K27" s="11">
        <f>IF(D27="","",SUM(G27,H27,I27,J27))</f>
      </c>
      <c r="L27" s="11">
        <f>IF(D27="","",D27-K27)</f>
      </c>
      <c r="M27" s="12">
        <f>IF(OR(D27="",D27=0),"",L27/D27)</f>
      </c>
      <c r="N27" s="11">
        <f>IF((E27+F27)=0,"",ROUND(L27/((E27+F27)/60),2))</f>
      </c>
    </row>
    <row r="28">
      <c r="I28" s="11">
        <f>IF(E28="","",ROUND(((E28+F28)/60)*'Cost Rates'!$B$3,2))</f>
      </c>
      <c r="J28" s="11">
        <f>IF(D28="","",'Cost Rates'!$B$4)</f>
      </c>
      <c r="K28" s="11">
        <f>IF(D28="","",SUM(G28,H28,I28,J28))</f>
      </c>
      <c r="L28" s="11">
        <f>IF(D28="","",D28-K28)</f>
      </c>
      <c r="M28" s="12">
        <f>IF(OR(D28="",D28=0),"",L28/D28)</f>
      </c>
      <c r="N28" s="11">
        <f>IF((E28+F28)=0,"",ROUND(L28/((E28+F28)/60),2))</f>
      </c>
    </row>
    <row r="29">
      <c r="I29" s="11">
        <f>IF(E29="","",ROUND(((E29+F29)/60)*'Cost Rates'!$B$3,2))</f>
      </c>
      <c r="J29" s="11">
        <f>IF(D29="","",'Cost Rates'!$B$4)</f>
      </c>
      <c r="K29" s="11">
        <f>IF(D29="","",SUM(G29,H29,I29,J29))</f>
      </c>
      <c r="L29" s="11">
        <f>IF(D29="","",D29-K29)</f>
      </c>
      <c r="M29" s="12">
        <f>IF(OR(D29="",D29=0),"",L29/D29)</f>
      </c>
      <c r="N29" s="11">
        <f>IF((E29+F29)=0,"",ROUND(L29/((E29+F29)/60),2))</f>
      </c>
    </row>
    <row r="30">
      <c r="I30" s="11">
        <f>IF(E30="","",ROUND(((E30+F30)/60)*'Cost Rates'!$B$3,2))</f>
      </c>
      <c r="J30" s="11">
        <f>IF(D30="","",'Cost Rates'!$B$4)</f>
      </c>
      <c r="K30" s="11">
        <f>IF(D30="","",SUM(G30,H30,I30,J30))</f>
      </c>
      <c r="L30" s="11">
        <f>IF(D30="","",D30-K30)</f>
      </c>
      <c r="M30" s="12">
        <f>IF(OR(D30="",D30=0),"",L30/D30)</f>
      </c>
      <c r="N30" s="11">
        <f>IF((E30+F30)=0,"",ROUND(L30/((E30+F30)/60),2))</f>
      </c>
    </row>
    <row r="31">
      <c r="I31" s="11">
        <f>IF(E31="","",ROUND(((E31+F31)/60)*'Cost Rates'!$B$3,2))</f>
      </c>
      <c r="J31" s="11">
        <f>IF(D31="","",'Cost Rates'!$B$4)</f>
      </c>
      <c r="K31" s="11">
        <f>IF(D31="","",SUM(G31,H31,I31,J31))</f>
      </c>
      <c r="L31" s="11">
        <f>IF(D31="","",D31-K31)</f>
      </c>
      <c r="M31" s="12">
        <f>IF(OR(D31="",D31=0),"",L31/D31)</f>
      </c>
      <c r="N31" s="11">
        <f>IF((E31+F31)=0,"",ROUND(L31/((E31+F31)/60),2))</f>
      </c>
    </row>
    <row r="32">
      <c r="I32" s="11">
        <f>IF(E32="","",ROUND(((E32+F32)/60)*'Cost Rates'!$B$3,2))</f>
      </c>
      <c r="J32" s="11">
        <f>IF(D32="","",'Cost Rates'!$B$4)</f>
      </c>
      <c r="K32" s="11">
        <f>IF(D32="","",SUM(G32,H32,I32,J32))</f>
      </c>
      <c r="L32" s="11">
        <f>IF(D32="","",D32-K32)</f>
      </c>
      <c r="M32" s="12">
        <f>IF(OR(D32="",D32=0),"",L32/D32)</f>
      </c>
      <c r="N32" s="11">
        <f>IF((E32+F32)=0,"",ROUND(L32/((E32+F32)/60),2))</f>
      </c>
    </row>
    <row r="33">
      <c r="I33" s="11">
        <f>IF(E33="","",ROUND(((E33+F33)/60)*'Cost Rates'!$B$3,2))</f>
      </c>
      <c r="J33" s="11">
        <f>IF(D33="","",'Cost Rates'!$B$4)</f>
      </c>
      <c r="K33" s="11">
        <f>IF(D33="","",SUM(G33,H33,I33,J33))</f>
      </c>
      <c r="L33" s="11">
        <f>IF(D33="","",D33-K33)</f>
      </c>
      <c r="M33" s="12">
        <f>IF(OR(D33="",D33=0),"",L33/D33)</f>
      </c>
      <c r="N33" s="11">
        <f>IF((E33+F33)=0,"",ROUND(L33/((E33+F33)/60),2))</f>
      </c>
    </row>
    <row r="34">
      <c r="I34" s="11">
        <f>IF(E34="","",ROUND(((E34+F34)/60)*'Cost Rates'!$B$3,2))</f>
      </c>
      <c r="J34" s="11">
        <f>IF(D34="","",'Cost Rates'!$B$4)</f>
      </c>
      <c r="K34" s="11">
        <f>IF(D34="","",SUM(G34,H34,I34,J34))</f>
      </c>
      <c r="L34" s="11">
        <f>IF(D34="","",D34-K34)</f>
      </c>
      <c r="M34" s="12">
        <f>IF(OR(D34="",D34=0),"",L34/D34)</f>
      </c>
      <c r="N34" s="11">
        <f>IF((E34+F34)=0,"",ROUND(L34/((E34+F34)/60),2))</f>
      </c>
    </row>
    <row r="35">
      <c r="I35" s="11">
        <f>IF(E35="","",ROUND(((E35+F35)/60)*'Cost Rates'!$B$3,2))</f>
      </c>
      <c r="J35" s="11">
        <f>IF(D35="","",'Cost Rates'!$B$4)</f>
      </c>
      <c r="K35" s="11">
        <f>IF(D35="","",SUM(G35,H35,I35,J35))</f>
      </c>
      <c r="L35" s="11">
        <f>IF(D35="","",D35-K35)</f>
      </c>
      <c r="M35" s="12">
        <f>IF(OR(D35="",D35=0),"",L35/D35)</f>
      </c>
      <c r="N35" s="11">
        <f>IF((E35+F35)=0,"",ROUND(L35/((E35+F35)/60),2))</f>
      </c>
    </row>
    <row r="36">
      <c r="I36" s="11">
        <f>IF(E36="","",ROUND(((E36+F36)/60)*'Cost Rates'!$B$3,2))</f>
      </c>
      <c r="J36" s="11">
        <f>IF(D36="","",'Cost Rates'!$B$4)</f>
      </c>
      <c r="K36" s="11">
        <f>IF(D36="","",SUM(G36,H36,I36,J36))</f>
      </c>
      <c r="L36" s="11">
        <f>IF(D36="","",D36-K36)</f>
      </c>
      <c r="M36" s="12">
        <f>IF(OR(D36="",D36=0),"",L36/D36)</f>
      </c>
      <c r="N36" s="11">
        <f>IF((E36+F36)=0,"",ROUND(L36/((E36+F36)/60),2))</f>
      </c>
    </row>
    <row r="37">
      <c r="I37" s="11">
        <f>IF(E37="","",ROUND(((E37+F37)/60)*'Cost Rates'!$B$3,2))</f>
      </c>
      <c r="J37" s="11">
        <f>IF(D37="","",'Cost Rates'!$B$4)</f>
      </c>
      <c r="K37" s="11">
        <f>IF(D37="","",SUM(G37,H37,I37,J37))</f>
      </c>
      <c r="L37" s="11">
        <f>IF(D37="","",D37-K37)</f>
      </c>
      <c r="M37" s="12">
        <f>IF(OR(D37="",D37=0),"",L37/D37)</f>
      </c>
      <c r="N37" s="11">
        <f>IF((E37+F37)=0,"",ROUND(L37/((E37+F37)/60),2))</f>
      </c>
    </row>
    <row r="38">
      <c r="I38" s="11">
        <f>IF(E38="","",ROUND(((E38+F38)/60)*'Cost Rates'!$B$3,2))</f>
      </c>
      <c r="J38" s="11">
        <f>IF(D38="","",'Cost Rates'!$B$4)</f>
      </c>
      <c r="K38" s="11">
        <f>IF(D38="","",SUM(G38,H38,I38,J38))</f>
      </c>
      <c r="L38" s="11">
        <f>IF(D38="","",D38-K38)</f>
      </c>
      <c r="M38" s="12">
        <f>IF(OR(D38="",D38=0),"",L38/D38)</f>
      </c>
      <c r="N38" s="11">
        <f>IF((E38+F38)=0,"",ROUND(L38/((E38+F38)/60),2))</f>
      </c>
    </row>
    <row r="39">
      <c r="I39" s="11">
        <f>IF(E39="","",ROUND(((E39+F39)/60)*'Cost Rates'!$B$3,2))</f>
      </c>
      <c r="J39" s="11">
        <f>IF(D39="","",'Cost Rates'!$B$4)</f>
      </c>
      <c r="K39" s="11">
        <f>IF(D39="","",SUM(G39,H39,I39,J39))</f>
      </c>
      <c r="L39" s="11">
        <f>IF(D39="","",D39-K39)</f>
      </c>
      <c r="M39" s="12">
        <f>IF(OR(D39="",D39=0),"",L39/D39)</f>
      </c>
      <c r="N39" s="11">
        <f>IF((E39+F39)=0,"",ROUND(L39/((E39+F39)/60),2))</f>
      </c>
    </row>
    <row r="40">
      <c r="I40" s="11">
        <f>IF(E40="","",ROUND(((E40+F40)/60)*'Cost Rates'!$B$3,2))</f>
      </c>
      <c r="J40" s="11">
        <f>IF(D40="","",'Cost Rates'!$B$4)</f>
      </c>
      <c r="K40" s="11">
        <f>IF(D40="","",SUM(G40,H40,I40,J40))</f>
      </c>
      <c r="L40" s="11">
        <f>IF(D40="","",D40-K40)</f>
      </c>
      <c r="M40" s="12">
        <f>IF(OR(D40="",D40=0),"",L40/D40)</f>
      </c>
      <c r="N40" s="11">
        <f>IF((E40+F40)=0,"",ROUND(L40/((E40+F40)/60),2))</f>
      </c>
    </row>
    <row r="41">
      <c r="I41" s="11">
        <f>IF(E41="","",ROUND(((E41+F41)/60)*'Cost Rates'!$B$3,2))</f>
      </c>
      <c r="J41" s="11">
        <f>IF(D41="","",'Cost Rates'!$B$4)</f>
      </c>
      <c r="K41" s="11">
        <f>IF(D41="","",SUM(G41,H41,I41,J41))</f>
      </c>
      <c r="L41" s="11">
        <f>IF(D41="","",D41-K41)</f>
      </c>
      <c r="M41" s="12">
        <f>IF(OR(D41="",D41=0),"",L41/D41)</f>
      </c>
      <c r="N41" s="11">
        <f>IF((E41+F41)=0,"",ROUND(L41/((E41+F41)/60),2))</f>
      </c>
    </row>
    <row r="42">
      <c r="I42" s="11">
        <f>IF(E42="","",ROUND(((E42+F42)/60)*'Cost Rates'!$B$3,2))</f>
      </c>
      <c r="J42" s="11">
        <f>IF(D42="","",'Cost Rates'!$B$4)</f>
      </c>
      <c r="K42" s="11">
        <f>IF(D42="","",SUM(G42,H42,I42,J42))</f>
      </c>
      <c r="L42" s="11">
        <f>IF(D42="","",D42-K42)</f>
      </c>
      <c r="M42" s="12">
        <f>IF(OR(D42="",D42=0),"",L42/D42)</f>
      </c>
      <c r="N42" s="11">
        <f>IF((E42+F42)=0,"",ROUND(L42/((E42+F42)/60),2))</f>
      </c>
    </row>
    <row r="43">
      <c r="I43" s="11">
        <f>IF(E43="","",ROUND(((E43+F43)/60)*'Cost Rates'!$B$3,2))</f>
      </c>
      <c r="J43" s="11">
        <f>IF(D43="","",'Cost Rates'!$B$4)</f>
      </c>
      <c r="K43" s="11">
        <f>IF(D43="","",SUM(G43,H43,I43,J43))</f>
      </c>
      <c r="L43" s="11">
        <f>IF(D43="","",D43-K43)</f>
      </c>
      <c r="M43" s="12">
        <f>IF(OR(D43="",D43=0),"",L43/D43)</f>
      </c>
      <c r="N43" s="11">
        <f>IF((E43+F43)=0,"",ROUND(L43/((E43+F43)/60),2))</f>
      </c>
    </row>
    <row r="44">
      <c r="I44" s="11">
        <f>IF(E44="","",ROUND(((E44+F44)/60)*'Cost Rates'!$B$3,2))</f>
      </c>
      <c r="J44" s="11">
        <f>IF(D44="","",'Cost Rates'!$B$4)</f>
      </c>
      <c r="K44" s="11">
        <f>IF(D44="","",SUM(G44,H44,I44,J44))</f>
      </c>
      <c r="L44" s="11">
        <f>IF(D44="","",D44-K44)</f>
      </c>
      <c r="M44" s="12">
        <f>IF(OR(D44="",D44=0),"",L44/D44)</f>
      </c>
      <c r="N44" s="11">
        <f>IF((E44+F44)=0,"",ROUND(L44/((E44+F44)/60),2))</f>
      </c>
    </row>
    <row r="45">
      <c r="I45" s="11">
        <f>IF(E45="","",ROUND(((E45+F45)/60)*'Cost Rates'!$B$3,2))</f>
      </c>
      <c r="J45" s="11">
        <f>IF(D45="","",'Cost Rates'!$B$4)</f>
      </c>
      <c r="K45" s="11">
        <f>IF(D45="","",SUM(G45,H45,I45,J45))</f>
      </c>
      <c r="L45" s="11">
        <f>IF(D45="","",D45-K45)</f>
      </c>
      <c r="M45" s="12">
        <f>IF(OR(D45="",D45=0),"",L45/D45)</f>
      </c>
      <c r="N45" s="11">
        <f>IF((E45+F45)=0,"",ROUND(L45/((E45+F45)/60),2))</f>
      </c>
    </row>
    <row r="46">
      <c r="I46" s="11">
        <f>IF(E46="","",ROUND(((E46+F46)/60)*'Cost Rates'!$B$3,2))</f>
      </c>
      <c r="J46" s="11">
        <f>IF(D46="","",'Cost Rates'!$B$4)</f>
      </c>
      <c r="K46" s="11">
        <f>IF(D46="","",SUM(G46,H46,I46,J46))</f>
      </c>
      <c r="L46" s="11">
        <f>IF(D46="","",D46-K46)</f>
      </c>
      <c r="M46" s="12">
        <f>IF(OR(D46="",D46=0),"",L46/D46)</f>
      </c>
      <c r="N46" s="11">
        <f>IF((E46+F46)=0,"",ROUND(L46/((E46+F46)/60),2))</f>
      </c>
    </row>
    <row r="47">
      <c r="I47" s="11">
        <f>IF(E47="","",ROUND(((E47+F47)/60)*'Cost Rates'!$B$3,2))</f>
      </c>
      <c r="J47" s="11">
        <f>IF(D47="","",'Cost Rates'!$B$4)</f>
      </c>
      <c r="K47" s="11">
        <f>IF(D47="","",SUM(G47,H47,I47,J47))</f>
      </c>
      <c r="L47" s="11">
        <f>IF(D47="","",D47-K47)</f>
      </c>
      <c r="M47" s="12">
        <f>IF(OR(D47="",D47=0),"",L47/D47)</f>
      </c>
      <c r="N47" s="11">
        <f>IF((E47+F47)=0,"",ROUND(L47/((E47+F47)/60),2))</f>
      </c>
    </row>
    <row r="48">
      <c r="I48" s="11">
        <f>IF(E48="","",ROUND(((E48+F48)/60)*'Cost Rates'!$B$3,2))</f>
      </c>
      <c r="J48" s="11">
        <f>IF(D48="","",'Cost Rates'!$B$4)</f>
      </c>
      <c r="K48" s="11">
        <f>IF(D48="","",SUM(G48,H48,I48,J48))</f>
      </c>
      <c r="L48" s="11">
        <f>IF(D48="","",D48-K48)</f>
      </c>
      <c r="M48" s="12">
        <f>IF(OR(D48="",D48=0),"",L48/D48)</f>
      </c>
      <c r="N48" s="11">
        <f>IF((E48+F48)=0,"",ROUND(L48/((E48+F48)/60),2))</f>
      </c>
    </row>
    <row r="49">
      <c r="I49" s="11">
        <f>IF(E49="","",ROUND(((E49+F49)/60)*'Cost Rates'!$B$3,2))</f>
      </c>
      <c r="J49" s="11">
        <f>IF(D49="","",'Cost Rates'!$B$4)</f>
      </c>
      <c r="K49" s="11">
        <f>IF(D49="","",SUM(G49,H49,I49,J49))</f>
      </c>
      <c r="L49" s="11">
        <f>IF(D49="","",D49-K49)</f>
      </c>
      <c r="M49" s="12">
        <f>IF(OR(D49="",D49=0),"",L49/D49)</f>
      </c>
      <c r="N49" s="11">
        <f>IF((E49+F49)=0,"",ROUND(L49/((E49+F49)/60),2))</f>
      </c>
    </row>
    <row r="50">
      <c r="I50" s="11">
        <f>IF(E50="","",ROUND(((E50+F50)/60)*'Cost Rates'!$B$3,2))</f>
      </c>
      <c r="J50" s="11">
        <f>IF(D50="","",'Cost Rates'!$B$4)</f>
      </c>
      <c r="K50" s="11">
        <f>IF(D50="","",SUM(G50,H50,I50,J50))</f>
      </c>
      <c r="L50" s="11">
        <f>IF(D50="","",D50-K50)</f>
      </c>
      <c r="M50" s="12">
        <f>IF(OR(D50="",D50=0),"",L50/D50)</f>
      </c>
      <c r="N50" s="11">
        <f>IF((E50+F50)=0,"",ROUND(L50/((E50+F50)/60),2))</f>
      </c>
    </row>
    <row r="51">
      <c r="I51" s="11">
        <f>IF(E51="","",ROUND(((E51+F51)/60)*'Cost Rates'!$B$3,2))</f>
      </c>
      <c r="J51" s="11">
        <f>IF(D51="","",'Cost Rates'!$B$4)</f>
      </c>
      <c r="K51" s="11">
        <f>IF(D51="","",SUM(G51,H51,I51,J51))</f>
      </c>
      <c r="L51" s="11">
        <f>IF(D51="","",D51-K51)</f>
      </c>
      <c r="M51" s="12">
        <f>IF(OR(D51="",D51=0),"",L51/D51)</f>
      </c>
      <c r="N51" s="11">
        <f>IF((E51+F51)=0,"",ROUND(L51/((E51+F51)/60),2))</f>
      </c>
    </row>
    <row r="52">
      <c r="I52" s="11">
        <f>IF(E52="","",ROUND(((E52+F52)/60)*'Cost Rates'!$B$3,2))</f>
      </c>
      <c r="J52" s="11">
        <f>IF(D52="","",'Cost Rates'!$B$4)</f>
      </c>
      <c r="K52" s="11">
        <f>IF(D52="","",SUM(G52,H52,I52,J52))</f>
      </c>
      <c r="L52" s="11">
        <f>IF(D52="","",D52-K52)</f>
      </c>
      <c r="M52" s="12">
        <f>IF(OR(D52="",D52=0),"",L52/D52)</f>
      </c>
      <c r="N52" s="11">
        <f>IF((E52+F52)=0,"",ROUND(L52/((E52+F52)/60),2))</f>
      </c>
    </row>
    <row r="53">
      <c r="I53" s="11">
        <f>IF(E53="","",ROUND(((E53+F53)/60)*'Cost Rates'!$B$3,2))</f>
      </c>
      <c r="J53" s="11">
        <f>IF(D53="","",'Cost Rates'!$B$4)</f>
      </c>
      <c r="K53" s="11">
        <f>IF(D53="","",SUM(G53,H53,I53,J53))</f>
      </c>
      <c r="L53" s="11">
        <f>IF(D53="","",D53-K53)</f>
      </c>
      <c r="M53" s="12">
        <f>IF(OR(D53="",D53=0),"",L53/D53)</f>
      </c>
      <c r="N53" s="11">
        <f>IF((E53+F53)=0,"",ROUND(L53/((E53+F53)/60),2))</f>
      </c>
    </row>
    <row r="54">
      <c r="I54" s="11">
        <f>IF(E54="","",ROUND(((E54+F54)/60)*'Cost Rates'!$B$3,2))</f>
      </c>
      <c r="J54" s="11">
        <f>IF(D54="","",'Cost Rates'!$B$4)</f>
      </c>
      <c r="K54" s="11">
        <f>IF(D54="","",SUM(G54,H54,I54,J54))</f>
      </c>
      <c r="L54" s="11">
        <f>IF(D54="","",D54-K54)</f>
      </c>
      <c r="M54" s="12">
        <f>IF(OR(D54="",D54=0),"",L54/D54)</f>
      </c>
      <c r="N54" s="11">
        <f>IF((E54+F54)=0,"",ROUND(L54/((E54+F54)/60),2))</f>
      </c>
    </row>
    <row r="55">
      <c r="I55" s="11">
        <f>IF(E55="","",ROUND(((E55+F55)/60)*'Cost Rates'!$B$3,2))</f>
      </c>
      <c r="J55" s="11">
        <f>IF(D55="","",'Cost Rates'!$B$4)</f>
      </c>
      <c r="K55" s="11">
        <f>IF(D55="","",SUM(G55,H55,I55,J55))</f>
      </c>
      <c r="L55" s="11">
        <f>IF(D55="","",D55-K55)</f>
      </c>
      <c r="M55" s="12">
        <f>IF(OR(D55="",D55=0),"",L55/D55)</f>
      </c>
      <c r="N55" s="11">
        <f>IF((E55+F55)=0,"",ROUND(L55/((E55+F55)/60),2))</f>
      </c>
    </row>
    <row r="56">
      <c r="I56" s="11">
        <f>IF(E56="","",ROUND(((E56+F56)/60)*'Cost Rates'!$B$3,2))</f>
      </c>
      <c r="J56" s="11">
        <f>IF(D56="","",'Cost Rates'!$B$4)</f>
      </c>
      <c r="K56" s="11">
        <f>IF(D56="","",SUM(G56,H56,I56,J56))</f>
      </c>
      <c r="L56" s="11">
        <f>IF(D56="","",D56-K56)</f>
      </c>
      <c r="M56" s="12">
        <f>IF(OR(D56="",D56=0),"",L56/D56)</f>
      </c>
      <c r="N56" s="11">
        <f>IF((E56+F56)=0,"",ROUND(L56/((E56+F56)/60),2))</f>
      </c>
    </row>
    <row r="57">
      <c r="I57" s="11">
        <f>IF(E57="","",ROUND(((E57+F57)/60)*'Cost Rates'!$B$3,2))</f>
      </c>
      <c r="J57" s="11">
        <f>IF(D57="","",'Cost Rates'!$B$4)</f>
      </c>
      <c r="K57" s="11">
        <f>IF(D57="","",SUM(G57,H57,I57,J57))</f>
      </c>
      <c r="L57" s="11">
        <f>IF(D57="","",D57-K57)</f>
      </c>
      <c r="M57" s="12">
        <f>IF(OR(D57="",D57=0),"",L57/D57)</f>
      </c>
      <c r="N57" s="11">
        <f>IF((E57+F57)=0,"",ROUND(L57/((E57+F57)/60),2))</f>
      </c>
    </row>
    <row r="58">
      <c r="I58" s="11">
        <f>IF(E58="","",ROUND(((E58+F58)/60)*'Cost Rates'!$B$3,2))</f>
      </c>
      <c r="J58" s="11">
        <f>IF(D58="","",'Cost Rates'!$B$4)</f>
      </c>
      <c r="K58" s="11">
        <f>IF(D58="","",SUM(G58,H58,I58,J58))</f>
      </c>
      <c r="L58" s="11">
        <f>IF(D58="","",D58-K58)</f>
      </c>
      <c r="M58" s="12">
        <f>IF(OR(D58="",D58=0),"",L58/D58)</f>
      </c>
      <c r="N58" s="11">
        <f>IF((E58+F58)=0,"",ROUND(L58/((E58+F58)/60),2))</f>
      </c>
    </row>
    <row r="59">
      <c r="I59" s="11">
        <f>IF(E59="","",ROUND(((E59+F59)/60)*'Cost Rates'!$B$3,2))</f>
      </c>
      <c r="J59" s="11">
        <f>IF(D59="","",'Cost Rates'!$B$4)</f>
      </c>
      <c r="K59" s="11">
        <f>IF(D59="","",SUM(G59,H59,I59,J59))</f>
      </c>
      <c r="L59" s="11">
        <f>IF(D59="","",D59-K59)</f>
      </c>
      <c r="M59" s="12">
        <f>IF(OR(D59="",D59=0),"",L59/D59)</f>
      </c>
      <c r="N59" s="11">
        <f>IF((E59+F59)=0,"",ROUND(L59/((E59+F59)/60),2))</f>
      </c>
    </row>
    <row r="60">
      <c r="I60" s="11">
        <f>IF(E60="","",ROUND(((E60+F60)/60)*'Cost Rates'!$B$3,2))</f>
      </c>
      <c r="J60" s="11">
        <f>IF(D60="","",'Cost Rates'!$B$4)</f>
      </c>
      <c r="K60" s="11">
        <f>IF(D60="","",SUM(G60,H60,I60,J60))</f>
      </c>
      <c r="L60" s="11">
        <f>IF(D60="","",D60-K60)</f>
      </c>
      <c r="M60" s="12">
        <f>IF(OR(D60="",D60=0),"",L60/D60)</f>
      </c>
      <c r="N60" s="11">
        <f>IF((E60+F60)=0,"",ROUND(L60/((E60+F60)/60),2))</f>
      </c>
    </row>
    <row r="61">
      <c r="I61" s="11">
        <f>IF(E61="","",ROUND(((E61+F61)/60)*'Cost Rates'!$B$3,2))</f>
      </c>
      <c r="J61" s="11">
        <f>IF(D61="","",'Cost Rates'!$B$4)</f>
      </c>
      <c r="K61" s="11">
        <f>IF(D61="","",SUM(G61,H61,I61,J61))</f>
      </c>
      <c r="L61" s="11">
        <f>IF(D61="","",D61-K61)</f>
      </c>
      <c r="M61" s="12">
        <f>IF(OR(D61="",D61=0),"",L61/D61)</f>
      </c>
      <c r="N61" s="11">
        <f>IF((E61+F61)=0,"",ROUND(L61/((E61+F61)/60),2))</f>
      </c>
    </row>
    <row r="62">
      <c r="I62" s="11">
        <f>IF(E62="","",ROUND(((E62+F62)/60)*'Cost Rates'!$B$3,2))</f>
      </c>
      <c r="J62" s="11">
        <f>IF(D62="","",'Cost Rates'!$B$4)</f>
      </c>
      <c r="K62" s="11">
        <f>IF(D62="","",SUM(G62,H62,I62,J62))</f>
      </c>
      <c r="L62" s="11">
        <f>IF(D62="","",D62-K62)</f>
      </c>
      <c r="M62" s="12">
        <f>IF(OR(D62="",D62=0),"",L62/D62)</f>
      </c>
      <c r="N62" s="11">
        <f>IF((E62+F62)=0,"",ROUND(L62/((E62+F62)/60),2))</f>
      </c>
    </row>
    <row r="63">
      <c r="I63" s="11">
        <f>IF(E63="","",ROUND(((E63+F63)/60)*'Cost Rates'!$B$3,2))</f>
      </c>
      <c r="J63" s="11">
        <f>IF(D63="","",'Cost Rates'!$B$4)</f>
      </c>
      <c r="K63" s="11">
        <f>IF(D63="","",SUM(G63,H63,I63,J63))</f>
      </c>
      <c r="L63" s="11">
        <f>IF(D63="","",D63-K63)</f>
      </c>
      <c r="M63" s="12">
        <f>IF(OR(D63="",D63=0),"",L63/D63)</f>
      </c>
      <c r="N63" s="11">
        <f>IF((E63+F63)=0,"",ROUND(L63/((E63+F63)/60),2))</f>
      </c>
    </row>
    <row r="64">
      <c r="I64" s="11">
        <f>IF(E64="","",ROUND(((E64+F64)/60)*'Cost Rates'!$B$3,2))</f>
      </c>
      <c r="J64" s="11">
        <f>IF(D64="","",'Cost Rates'!$B$4)</f>
      </c>
      <c r="K64" s="11">
        <f>IF(D64="","",SUM(G64,H64,I64,J64))</f>
      </c>
      <c r="L64" s="11">
        <f>IF(D64="","",D64-K64)</f>
      </c>
      <c r="M64" s="12">
        <f>IF(OR(D64="",D64=0),"",L64/D64)</f>
      </c>
      <c r="N64" s="11">
        <f>IF((E64+F64)=0,"",ROUND(L64/((E64+F64)/60),2))</f>
      </c>
    </row>
    <row r="65">
      <c r="I65" s="11">
        <f>IF(E65="","",ROUND(((E65+F65)/60)*'Cost Rates'!$B$3,2))</f>
      </c>
      <c r="J65" s="11">
        <f>IF(D65="","",'Cost Rates'!$B$4)</f>
      </c>
      <c r="K65" s="11">
        <f>IF(D65="","",SUM(G65,H65,I65,J65))</f>
      </c>
      <c r="L65" s="11">
        <f>IF(D65="","",D65-K65)</f>
      </c>
      <c r="M65" s="12">
        <f>IF(OR(D65="",D65=0),"",L65/D65)</f>
      </c>
      <c r="N65" s="11">
        <f>IF((E65+F65)=0,"",ROUND(L65/((E65+F65)/60),2))</f>
      </c>
    </row>
    <row r="66">
      <c r="I66" s="11">
        <f>IF(E66="","",ROUND(((E66+F66)/60)*'Cost Rates'!$B$3,2))</f>
      </c>
      <c r="J66" s="11">
        <f>IF(D66="","",'Cost Rates'!$B$4)</f>
      </c>
      <c r="K66" s="11">
        <f>IF(D66="","",SUM(G66,H66,I66,J66))</f>
      </c>
      <c r="L66" s="11">
        <f>IF(D66="","",D66-K66)</f>
      </c>
      <c r="M66" s="12">
        <f>IF(OR(D66="",D66=0),"",L66/D66)</f>
      </c>
      <c r="N66" s="11">
        <f>IF((E66+F66)=0,"",ROUND(L66/((E66+F66)/60),2))</f>
      </c>
    </row>
    <row r="67">
      <c r="I67" s="11">
        <f>IF(E67="","",ROUND(((E67+F67)/60)*'Cost Rates'!$B$3,2))</f>
      </c>
      <c r="J67" s="11">
        <f>IF(D67="","",'Cost Rates'!$B$4)</f>
      </c>
      <c r="K67" s="11">
        <f>IF(D67="","",SUM(G67,H67,I67,J67))</f>
      </c>
      <c r="L67" s="11">
        <f>IF(D67="","",D67-K67)</f>
      </c>
      <c r="M67" s="12">
        <f>IF(OR(D67="",D67=0),"",L67/D67)</f>
      </c>
      <c r="N67" s="11">
        <f>IF((E67+F67)=0,"",ROUND(L67/((E67+F67)/60),2))</f>
      </c>
    </row>
    <row r="68">
      <c r="I68" s="11">
        <f>IF(E68="","",ROUND(((E68+F68)/60)*'Cost Rates'!$B$3,2))</f>
      </c>
      <c r="J68" s="11">
        <f>IF(D68="","",'Cost Rates'!$B$4)</f>
      </c>
      <c r="K68" s="11">
        <f>IF(D68="","",SUM(G68,H68,I68,J68))</f>
      </c>
      <c r="L68" s="11">
        <f>IF(D68="","",D68-K68)</f>
      </c>
      <c r="M68" s="12">
        <f>IF(OR(D68="",D68=0),"",L68/D68)</f>
      </c>
      <c r="N68" s="11">
        <f>IF((E68+F68)=0,"",ROUND(L68/((E68+F68)/60),2))</f>
      </c>
    </row>
    <row r="69">
      <c r="I69" s="11">
        <f>IF(E69="","",ROUND(((E69+F69)/60)*'Cost Rates'!$B$3,2))</f>
      </c>
      <c r="J69" s="11">
        <f>IF(D69="","",'Cost Rates'!$B$4)</f>
      </c>
      <c r="K69" s="11">
        <f>IF(D69="","",SUM(G69,H69,I69,J69))</f>
      </c>
      <c r="L69" s="11">
        <f>IF(D69="","",D69-K69)</f>
      </c>
      <c r="M69" s="12">
        <f>IF(OR(D69="",D69=0),"",L69/D69)</f>
      </c>
      <c r="N69" s="11">
        <f>IF((E69+F69)=0,"",ROUND(L69/((E69+F69)/60),2))</f>
      </c>
    </row>
    <row r="70">
      <c r="I70" s="11">
        <f>IF(E70="","",ROUND(((E70+F70)/60)*'Cost Rates'!$B$3,2))</f>
      </c>
      <c r="J70" s="11">
        <f>IF(D70="","",'Cost Rates'!$B$4)</f>
      </c>
      <c r="K70" s="11">
        <f>IF(D70="","",SUM(G70,H70,I70,J70))</f>
      </c>
      <c r="L70" s="11">
        <f>IF(D70="","",D70-K70)</f>
      </c>
      <c r="M70" s="12">
        <f>IF(OR(D70="",D70=0),"",L70/D70)</f>
      </c>
      <c r="N70" s="11">
        <f>IF((E70+F70)=0,"",ROUND(L70/((E70+F70)/60),2))</f>
      </c>
    </row>
    <row r="71">
      <c r="I71" s="11">
        <f>IF(E71="","",ROUND(((E71+F71)/60)*'Cost Rates'!$B$3,2))</f>
      </c>
      <c r="J71" s="11">
        <f>IF(D71="","",'Cost Rates'!$B$4)</f>
      </c>
      <c r="K71" s="11">
        <f>IF(D71="","",SUM(G71,H71,I71,J71))</f>
      </c>
      <c r="L71" s="11">
        <f>IF(D71="","",D71-K71)</f>
      </c>
      <c r="M71" s="12">
        <f>IF(OR(D71="",D71=0),"",L71/D71)</f>
      </c>
      <c r="N71" s="11">
        <f>IF((E71+F71)=0,"",ROUND(L71/((E71+F71)/60),2))</f>
      </c>
    </row>
    <row r="72">
      <c r="I72" s="11">
        <f>IF(E72="","",ROUND(((E72+F72)/60)*'Cost Rates'!$B$3,2))</f>
      </c>
      <c r="J72" s="11">
        <f>IF(D72="","",'Cost Rates'!$B$4)</f>
      </c>
      <c r="K72" s="11">
        <f>IF(D72="","",SUM(G72,H72,I72,J72))</f>
      </c>
      <c r="L72" s="11">
        <f>IF(D72="","",D72-K72)</f>
      </c>
      <c r="M72" s="12">
        <f>IF(OR(D72="",D72=0),"",L72/D72)</f>
      </c>
      <c r="N72" s="11">
        <f>IF((E72+F72)=0,"",ROUND(L72/((E72+F72)/60),2))</f>
      </c>
    </row>
    <row r="73">
      <c r="I73" s="11">
        <f>IF(E73="","",ROUND(((E73+F73)/60)*'Cost Rates'!$B$3,2))</f>
      </c>
      <c r="J73" s="11">
        <f>IF(D73="","",'Cost Rates'!$B$4)</f>
      </c>
      <c r="K73" s="11">
        <f>IF(D73="","",SUM(G73,H73,I73,J73))</f>
      </c>
      <c r="L73" s="11">
        <f>IF(D73="","",D73-K73)</f>
      </c>
      <c r="M73" s="12">
        <f>IF(OR(D73="",D73=0),"",L73/D73)</f>
      </c>
      <c r="N73" s="11">
        <f>IF((E73+F73)=0,"",ROUND(L73/((E73+F73)/60),2))</f>
      </c>
    </row>
    <row r="74">
      <c r="I74" s="11">
        <f>IF(E74="","",ROUND(((E74+F74)/60)*'Cost Rates'!$B$3,2))</f>
      </c>
      <c r="J74" s="11">
        <f>IF(D74="","",'Cost Rates'!$B$4)</f>
      </c>
      <c r="K74" s="11">
        <f>IF(D74="","",SUM(G74,H74,I74,J74))</f>
      </c>
      <c r="L74" s="11">
        <f>IF(D74="","",D74-K74)</f>
      </c>
      <c r="M74" s="12">
        <f>IF(OR(D74="",D74=0),"",L74/D74)</f>
      </c>
      <c r="N74" s="11">
        <f>IF((E74+F74)=0,"",ROUND(L74/((E74+F74)/60),2))</f>
      </c>
    </row>
    <row r="75">
      <c r="I75" s="11">
        <f>IF(E75="","",ROUND(((E75+F75)/60)*'Cost Rates'!$B$3,2))</f>
      </c>
      <c r="J75" s="11">
        <f>IF(D75="","",'Cost Rates'!$B$4)</f>
      </c>
      <c r="K75" s="11">
        <f>IF(D75="","",SUM(G75,H75,I75,J75))</f>
      </c>
      <c r="L75" s="11">
        <f>IF(D75="","",D75-K75)</f>
      </c>
      <c r="M75" s="12">
        <f>IF(OR(D75="",D75=0),"",L75/D75)</f>
      </c>
      <c r="N75" s="11">
        <f>IF((E75+F75)=0,"",ROUND(L75/((E75+F75)/60),2))</f>
      </c>
    </row>
    <row r="76">
      <c r="I76" s="11">
        <f>IF(E76="","",ROUND(((E76+F76)/60)*'Cost Rates'!$B$3,2))</f>
      </c>
      <c r="J76" s="11">
        <f>IF(D76="","",'Cost Rates'!$B$4)</f>
      </c>
      <c r="K76" s="11">
        <f>IF(D76="","",SUM(G76,H76,I76,J76))</f>
      </c>
      <c r="L76" s="11">
        <f>IF(D76="","",D76-K76)</f>
      </c>
      <c r="M76" s="12">
        <f>IF(OR(D76="",D76=0),"",L76/D76)</f>
      </c>
      <c r="N76" s="11">
        <f>IF((E76+F76)=0,"",ROUND(L76/((E76+F76)/60),2))</f>
      </c>
    </row>
    <row r="77">
      <c r="I77" s="11">
        <f>IF(E77="","",ROUND(((E77+F77)/60)*'Cost Rates'!$B$3,2))</f>
      </c>
      <c r="J77" s="11">
        <f>IF(D77="","",'Cost Rates'!$B$4)</f>
      </c>
      <c r="K77" s="11">
        <f>IF(D77="","",SUM(G77,H77,I77,J77))</f>
      </c>
      <c r="L77" s="11">
        <f>IF(D77="","",D77-K77)</f>
      </c>
      <c r="M77" s="12">
        <f>IF(OR(D77="",D77=0),"",L77/D77)</f>
      </c>
      <c r="N77" s="11">
        <f>IF((E77+F77)=0,"",ROUND(L77/((E77+F77)/60),2))</f>
      </c>
    </row>
    <row r="78">
      <c r="I78" s="11">
        <f>IF(E78="","",ROUND(((E78+F78)/60)*'Cost Rates'!$B$3,2))</f>
      </c>
      <c r="J78" s="11">
        <f>IF(D78="","",'Cost Rates'!$B$4)</f>
      </c>
      <c r="K78" s="11">
        <f>IF(D78="","",SUM(G78,H78,I78,J78))</f>
      </c>
      <c r="L78" s="11">
        <f>IF(D78="","",D78-K78)</f>
      </c>
      <c r="M78" s="12">
        <f>IF(OR(D78="",D78=0),"",L78/D78)</f>
      </c>
      <c r="N78" s="11">
        <f>IF((E78+F78)=0,"",ROUND(L78/((E78+F78)/60),2))</f>
      </c>
    </row>
    <row r="79">
      <c r="I79" s="11">
        <f>IF(E79="","",ROUND(((E79+F79)/60)*'Cost Rates'!$B$3,2))</f>
      </c>
      <c r="J79" s="11">
        <f>IF(D79="","",'Cost Rates'!$B$4)</f>
      </c>
      <c r="K79" s="11">
        <f>IF(D79="","",SUM(G79,H79,I79,J79))</f>
      </c>
      <c r="L79" s="11">
        <f>IF(D79="","",D79-K79)</f>
      </c>
      <c r="M79" s="12">
        <f>IF(OR(D79="",D79=0),"",L79/D79)</f>
      </c>
      <c r="N79" s="11">
        <f>IF((E79+F79)=0,"",ROUND(L79/((E79+F79)/60),2))</f>
      </c>
    </row>
    <row r="80">
      <c r="I80" s="11">
        <f>IF(E80="","",ROUND(((E80+F80)/60)*'Cost Rates'!$B$3,2))</f>
      </c>
      <c r="J80" s="11">
        <f>IF(D80="","",'Cost Rates'!$B$4)</f>
      </c>
      <c r="K80" s="11">
        <f>IF(D80="","",SUM(G80,H80,I80,J80))</f>
      </c>
      <c r="L80" s="11">
        <f>IF(D80="","",D80-K80)</f>
      </c>
      <c r="M80" s="12">
        <f>IF(OR(D80="",D80=0),"",L80/D80)</f>
      </c>
      <c r="N80" s="11">
        <f>IF((E80+F80)=0,"",ROUND(L80/((E80+F80)/60),2))</f>
      </c>
    </row>
    <row r="81">
      <c r="I81" s="11">
        <f>IF(E81="","",ROUND(((E81+F81)/60)*'Cost Rates'!$B$3,2))</f>
      </c>
      <c r="J81" s="11">
        <f>IF(D81="","",'Cost Rates'!$B$4)</f>
      </c>
      <c r="K81" s="11">
        <f>IF(D81="","",SUM(G81,H81,I81,J81))</f>
      </c>
      <c r="L81" s="11">
        <f>IF(D81="","",D81-K81)</f>
      </c>
      <c r="M81" s="12">
        <f>IF(OR(D81="",D81=0),"",L81/D81)</f>
      </c>
      <c r="N81" s="11">
        <f>IF((E81+F81)=0,"",ROUND(L81/((E81+F81)/60),2))</f>
      </c>
    </row>
    <row r="82">
      <c r="I82" s="11">
        <f>IF(E82="","",ROUND(((E82+F82)/60)*'Cost Rates'!$B$3,2))</f>
      </c>
      <c r="J82" s="11">
        <f>IF(D82="","",'Cost Rates'!$B$4)</f>
      </c>
      <c r="K82" s="11">
        <f>IF(D82="","",SUM(G82,H82,I82,J82))</f>
      </c>
      <c r="L82" s="11">
        <f>IF(D82="","",D82-K82)</f>
      </c>
      <c r="M82" s="12">
        <f>IF(OR(D82="",D82=0),"",L82/D82)</f>
      </c>
      <c r="N82" s="11">
        <f>IF((E82+F82)=0,"",ROUND(L82/((E82+F82)/60),2))</f>
      </c>
    </row>
    <row r="83">
      <c r="I83" s="11">
        <f>IF(E83="","",ROUND(((E83+F83)/60)*'Cost Rates'!$B$3,2))</f>
      </c>
      <c r="J83" s="11">
        <f>IF(D83="","",'Cost Rates'!$B$4)</f>
      </c>
      <c r="K83" s="11">
        <f>IF(D83="","",SUM(G83,H83,I83,J83))</f>
      </c>
      <c r="L83" s="11">
        <f>IF(D83="","",D83-K83)</f>
      </c>
      <c r="M83" s="12">
        <f>IF(OR(D83="",D83=0),"",L83/D83)</f>
      </c>
      <c r="N83" s="11">
        <f>IF((E83+F83)=0,"",ROUND(L83/((E83+F83)/60),2))</f>
      </c>
    </row>
    <row r="84">
      <c r="I84" s="11">
        <f>IF(E84="","",ROUND(((E84+F84)/60)*'Cost Rates'!$B$3,2))</f>
      </c>
      <c r="J84" s="11">
        <f>IF(D84="","",'Cost Rates'!$B$4)</f>
      </c>
      <c r="K84" s="11">
        <f>IF(D84="","",SUM(G84,H84,I84,J84))</f>
      </c>
      <c r="L84" s="11">
        <f>IF(D84="","",D84-K84)</f>
      </c>
      <c r="M84" s="12">
        <f>IF(OR(D84="",D84=0),"",L84/D84)</f>
      </c>
      <c r="N84" s="11">
        <f>IF((E84+F84)=0,"",ROUND(L84/((E84+F84)/60),2))</f>
      </c>
    </row>
    <row r="85">
      <c r="I85" s="11">
        <f>IF(E85="","",ROUND(((E85+F85)/60)*'Cost Rates'!$B$3,2))</f>
      </c>
      <c r="J85" s="11">
        <f>IF(D85="","",'Cost Rates'!$B$4)</f>
      </c>
      <c r="K85" s="11">
        <f>IF(D85="","",SUM(G85,H85,I85,J85))</f>
      </c>
      <c r="L85" s="11">
        <f>IF(D85="","",D85-K85)</f>
      </c>
      <c r="M85" s="12">
        <f>IF(OR(D85="",D85=0),"",L85/D85)</f>
      </c>
      <c r="N85" s="11">
        <f>IF((E85+F85)=0,"",ROUND(L85/((E85+F85)/60),2))</f>
      </c>
    </row>
    <row r="86">
      <c r="I86" s="11">
        <f>IF(E86="","",ROUND(((E86+F86)/60)*'Cost Rates'!$B$3,2))</f>
      </c>
      <c r="J86" s="11">
        <f>IF(D86="","",'Cost Rates'!$B$4)</f>
      </c>
      <c r="K86" s="11">
        <f>IF(D86="","",SUM(G86,H86,I86,J86))</f>
      </c>
      <c r="L86" s="11">
        <f>IF(D86="","",D86-K86)</f>
      </c>
      <c r="M86" s="12">
        <f>IF(OR(D86="",D86=0),"",L86/D86)</f>
      </c>
      <c r="N86" s="11">
        <f>IF((E86+F86)=0,"",ROUND(L86/((E86+F86)/60),2))</f>
      </c>
    </row>
    <row r="87">
      <c r="I87" s="11">
        <f>IF(E87="","",ROUND(((E87+F87)/60)*'Cost Rates'!$B$3,2))</f>
      </c>
      <c r="J87" s="11">
        <f>IF(D87="","",'Cost Rates'!$B$4)</f>
      </c>
      <c r="K87" s="11">
        <f>IF(D87="","",SUM(G87,H87,I87,J87))</f>
      </c>
      <c r="L87" s="11">
        <f>IF(D87="","",D87-K87)</f>
      </c>
      <c r="M87" s="12">
        <f>IF(OR(D87="",D87=0),"",L87/D87)</f>
      </c>
      <c r="N87" s="11">
        <f>IF((E87+F87)=0,"",ROUND(L87/((E87+F87)/60),2))</f>
      </c>
    </row>
    <row r="88">
      <c r="I88" s="11">
        <f>IF(E88="","",ROUND(((E88+F88)/60)*'Cost Rates'!$B$3,2))</f>
      </c>
      <c r="J88" s="11">
        <f>IF(D88="","",'Cost Rates'!$B$4)</f>
      </c>
      <c r="K88" s="11">
        <f>IF(D88="","",SUM(G88,H88,I88,J88))</f>
      </c>
      <c r="L88" s="11">
        <f>IF(D88="","",D88-K88)</f>
      </c>
      <c r="M88" s="12">
        <f>IF(OR(D88="",D88=0),"",L88/D88)</f>
      </c>
      <c r="N88" s="11">
        <f>IF((E88+F88)=0,"",ROUND(L88/((E88+F88)/60),2))</f>
      </c>
    </row>
    <row r="89">
      <c r="I89" s="11">
        <f>IF(E89="","",ROUND(((E89+F89)/60)*'Cost Rates'!$B$3,2))</f>
      </c>
      <c r="J89" s="11">
        <f>IF(D89="","",'Cost Rates'!$B$4)</f>
      </c>
      <c r="K89" s="11">
        <f>IF(D89="","",SUM(G89,H89,I89,J89))</f>
      </c>
      <c r="L89" s="11">
        <f>IF(D89="","",D89-K89)</f>
      </c>
      <c r="M89" s="12">
        <f>IF(OR(D89="",D89=0),"",L89/D89)</f>
      </c>
      <c r="N89" s="11">
        <f>IF((E89+F89)=0,"",ROUND(L89/((E89+F89)/60),2))</f>
      </c>
    </row>
    <row r="90">
      <c r="I90" s="11">
        <f>IF(E90="","",ROUND(((E90+F90)/60)*'Cost Rates'!$B$3,2))</f>
      </c>
      <c r="J90" s="11">
        <f>IF(D90="","",'Cost Rates'!$B$4)</f>
      </c>
      <c r="K90" s="11">
        <f>IF(D90="","",SUM(G90,H90,I90,J90))</f>
      </c>
      <c r="L90" s="11">
        <f>IF(D90="","",D90-K90)</f>
      </c>
      <c r="M90" s="12">
        <f>IF(OR(D90="",D90=0),"",L90/D90)</f>
      </c>
      <c r="N90" s="11">
        <f>IF((E90+F90)=0,"",ROUND(L90/((E90+F90)/60),2))</f>
      </c>
    </row>
    <row r="91">
      <c r="I91" s="11">
        <f>IF(E91="","",ROUND(((E91+F91)/60)*'Cost Rates'!$B$3,2))</f>
      </c>
      <c r="J91" s="11">
        <f>IF(D91="","",'Cost Rates'!$B$4)</f>
      </c>
      <c r="K91" s="11">
        <f>IF(D91="","",SUM(G91,H91,I91,J91))</f>
      </c>
      <c r="L91" s="11">
        <f>IF(D91="","",D91-K91)</f>
      </c>
      <c r="M91" s="12">
        <f>IF(OR(D91="",D91=0),"",L91/D91)</f>
      </c>
      <c r="N91" s="11">
        <f>IF((E91+F91)=0,"",ROUND(L91/((E91+F91)/60),2))</f>
      </c>
    </row>
    <row r="92">
      <c r="I92" s="11">
        <f>IF(E92="","",ROUND(((E92+F92)/60)*'Cost Rates'!$B$3,2))</f>
      </c>
      <c r="J92" s="11">
        <f>IF(D92="","",'Cost Rates'!$B$4)</f>
      </c>
      <c r="K92" s="11">
        <f>IF(D92="","",SUM(G92,H92,I92,J92))</f>
      </c>
      <c r="L92" s="11">
        <f>IF(D92="","",D92-K92)</f>
      </c>
      <c r="M92" s="12">
        <f>IF(OR(D92="",D92=0),"",L92/D92)</f>
      </c>
      <c r="N92" s="11">
        <f>IF((E92+F92)=0,"",ROUND(L92/((E92+F92)/60),2))</f>
      </c>
    </row>
    <row r="93">
      <c r="I93" s="11">
        <f>IF(E93="","",ROUND(((E93+F93)/60)*'Cost Rates'!$B$3,2))</f>
      </c>
      <c r="J93" s="11">
        <f>IF(D93="","",'Cost Rates'!$B$4)</f>
      </c>
      <c r="K93" s="11">
        <f>IF(D93="","",SUM(G93,H93,I93,J93))</f>
      </c>
      <c r="L93" s="11">
        <f>IF(D93="","",D93-K93)</f>
      </c>
      <c r="M93" s="12">
        <f>IF(OR(D93="",D93=0),"",L93/D93)</f>
      </c>
      <c r="N93" s="11">
        <f>IF((E93+F93)=0,"",ROUND(L93/((E93+F93)/60),2))</f>
      </c>
    </row>
    <row r="94">
      <c r="I94" s="11">
        <f>IF(E94="","",ROUND(((E94+F94)/60)*'Cost Rates'!$B$3,2))</f>
      </c>
      <c r="J94" s="11">
        <f>IF(D94="","",'Cost Rates'!$B$4)</f>
      </c>
      <c r="K94" s="11">
        <f>IF(D94="","",SUM(G94,H94,I94,J94))</f>
      </c>
      <c r="L94" s="11">
        <f>IF(D94="","",D94-K94)</f>
      </c>
      <c r="M94" s="12">
        <f>IF(OR(D94="",D94=0),"",L94/D94)</f>
      </c>
      <c r="N94" s="11">
        <f>IF((E94+F94)=0,"",ROUND(L94/((E94+F94)/60),2))</f>
      </c>
    </row>
    <row r="95">
      <c r="I95" s="11">
        <f>IF(E95="","",ROUND(((E95+F95)/60)*'Cost Rates'!$B$3,2))</f>
      </c>
      <c r="J95" s="11">
        <f>IF(D95="","",'Cost Rates'!$B$4)</f>
      </c>
      <c r="K95" s="11">
        <f>IF(D95="","",SUM(G95,H95,I95,J95))</f>
      </c>
      <c r="L95" s="11">
        <f>IF(D95="","",D95-K95)</f>
      </c>
      <c r="M95" s="12">
        <f>IF(OR(D95="",D95=0),"",L95/D95)</f>
      </c>
      <c r="N95" s="11">
        <f>IF((E95+F95)=0,"",ROUND(L95/((E95+F95)/60),2))</f>
      </c>
    </row>
    <row r="96">
      <c r="I96" s="11">
        <f>IF(E96="","",ROUND(((E96+F96)/60)*'Cost Rates'!$B$3,2))</f>
      </c>
      <c r="J96" s="11">
        <f>IF(D96="","",'Cost Rates'!$B$4)</f>
      </c>
      <c r="K96" s="11">
        <f>IF(D96="","",SUM(G96,H96,I96,J96))</f>
      </c>
      <c r="L96" s="11">
        <f>IF(D96="","",D96-K96)</f>
      </c>
      <c r="M96" s="12">
        <f>IF(OR(D96="",D96=0),"",L96/D96)</f>
      </c>
      <c r="N96" s="11">
        <f>IF((E96+F96)=0,"",ROUND(L96/((E96+F96)/60),2))</f>
      </c>
    </row>
    <row r="97">
      <c r="I97" s="11">
        <f>IF(E97="","",ROUND(((E97+F97)/60)*'Cost Rates'!$B$3,2))</f>
      </c>
      <c r="J97" s="11">
        <f>IF(D97="","",'Cost Rates'!$B$4)</f>
      </c>
      <c r="K97" s="11">
        <f>IF(D97="","",SUM(G97,H97,I97,J97))</f>
      </c>
      <c r="L97" s="11">
        <f>IF(D97="","",D97-K97)</f>
      </c>
      <c r="M97" s="12">
        <f>IF(OR(D97="",D97=0),"",L97/D97)</f>
      </c>
      <c r="N97" s="11">
        <f>IF((E97+F97)=0,"",ROUND(L97/((E97+F97)/60),2))</f>
      </c>
    </row>
    <row r="98">
      <c r="I98" s="11">
        <f>IF(E98="","",ROUND(((E98+F98)/60)*'Cost Rates'!$B$3,2))</f>
      </c>
      <c r="J98" s="11">
        <f>IF(D98="","",'Cost Rates'!$B$4)</f>
      </c>
      <c r="K98" s="11">
        <f>IF(D98="","",SUM(G98,H98,I98,J98))</f>
      </c>
      <c r="L98" s="11">
        <f>IF(D98="","",D98-K98)</f>
      </c>
      <c r="M98" s="12">
        <f>IF(OR(D98="",D98=0),"",L98/D98)</f>
      </c>
      <c r="N98" s="11">
        <f>IF((E98+F98)=0,"",ROUND(L98/((E98+F98)/60),2))</f>
      </c>
    </row>
    <row r="99">
      <c r="I99" s="11">
        <f>IF(E99="","",ROUND(((E99+F99)/60)*'Cost Rates'!$B$3,2))</f>
      </c>
      <c r="J99" s="11">
        <f>IF(D99="","",'Cost Rates'!$B$4)</f>
      </c>
      <c r="K99" s="11">
        <f>IF(D99="","",SUM(G99,H99,I99,J99))</f>
      </c>
      <c r="L99" s="11">
        <f>IF(D99="","",D99-K99)</f>
      </c>
      <c r="M99" s="12">
        <f>IF(OR(D99="",D99=0),"",L99/D99)</f>
      </c>
      <c r="N99" s="11">
        <f>IF((E99+F99)=0,"",ROUND(L99/((E99+F99)/60),2))</f>
      </c>
    </row>
    <row r="100">
      <c r="I100" s="11">
        <f>IF(E100="","",ROUND(((E100+F100)/60)*'Cost Rates'!$B$3,2))</f>
      </c>
      <c r="J100" s="11">
        <f>IF(D100="","",'Cost Rates'!$B$4)</f>
      </c>
      <c r="K100" s="11">
        <f>IF(D100="","",SUM(G100,H100,I100,J100))</f>
      </c>
      <c r="L100" s="11">
        <f>IF(D100="","",D100-K100)</f>
      </c>
      <c r="M100" s="12">
        <f>IF(OR(D100="",D100=0),"",L100/D100)</f>
      </c>
      <c r="N100" s="11">
        <f>IF((E100+F100)=0,"",ROUND(L100/((E100+F100)/60),2))</f>
      </c>
    </row>
    <row r="101">
      <c r="I101" s="11">
        <f>IF(E101="","",ROUND(((E101+F101)/60)*'Cost Rates'!$B$3,2))</f>
      </c>
      <c r="J101" s="11">
        <f>IF(D101="","",'Cost Rates'!$B$4)</f>
      </c>
      <c r="K101" s="11">
        <f>IF(D101="","",SUM(G101,H101,I101,J101))</f>
      </c>
      <c r="L101" s="11">
        <f>IF(D101="","",D101-K101)</f>
      </c>
      <c r="M101" s="12">
        <f>IF(OR(D101="",D101=0),"",L101/D101)</f>
      </c>
      <c r="N101" s="11">
        <f>IF((E101+F101)=0,"",ROUND(L101/((E101+F101)/60),2))</f>
      </c>
    </row>
    <row r="102">
      <c r="I102" s="11">
        <f>IF(E102="","",ROUND(((E102+F102)/60)*'Cost Rates'!$B$3,2))</f>
      </c>
      <c r="J102" s="11">
        <f>IF(D102="","",'Cost Rates'!$B$4)</f>
      </c>
      <c r="K102" s="11">
        <f>IF(D102="","",SUM(G102,H102,I102,J102))</f>
      </c>
      <c r="L102" s="11">
        <f>IF(D102="","",D102-K102)</f>
      </c>
      <c r="M102" s="12">
        <f>IF(OR(D102="",D102=0),"",L102/D102)</f>
      </c>
      <c r="N102" s="11">
        <f>IF((E102+F102)=0,"",ROUND(L102/((E102+F102)/60),2))</f>
      </c>
    </row>
    <row r="103">
      <c r="I103" s="11">
        <f>IF(E103="","",ROUND(((E103+F103)/60)*'Cost Rates'!$B$3,2))</f>
      </c>
      <c r="J103" s="11">
        <f>IF(D103="","",'Cost Rates'!$B$4)</f>
      </c>
      <c r="K103" s="11">
        <f>IF(D103="","",SUM(G103,H103,I103,J103))</f>
      </c>
      <c r="L103" s="11">
        <f>IF(D103="","",D103-K103)</f>
      </c>
      <c r="M103" s="12">
        <f>IF(OR(D103="",D103=0),"",L103/D103)</f>
      </c>
      <c r="N103" s="11">
        <f>IF((E103+F103)=0,"",ROUND(L103/((E103+F103)/60),2))</f>
      </c>
    </row>
    <row r="104">
      <c r="I104" s="11">
        <f>IF(E104="","",ROUND(((E104+F104)/60)*'Cost Rates'!$B$3,2))</f>
      </c>
      <c r="J104" s="11">
        <f>IF(D104="","",'Cost Rates'!$B$4)</f>
      </c>
      <c r="K104" s="11">
        <f>IF(D104="","",SUM(G104,H104,I104,J104))</f>
      </c>
      <c r="L104" s="11">
        <f>IF(D104="","",D104-K104)</f>
      </c>
      <c r="M104" s="12">
        <f>IF(OR(D104="",D104=0),"",L104/D104)</f>
      </c>
      <c r="N104" s="11">
        <f>IF((E104+F104)=0,"",ROUND(L104/((E104+F104)/60),2))</f>
      </c>
    </row>
    <row r="105">
      <c r="I105" s="11">
        <f>IF(E105="","",ROUND(((E105+F105)/60)*'Cost Rates'!$B$3,2))</f>
      </c>
      <c r="J105" s="11">
        <f>IF(D105="","",'Cost Rates'!$B$4)</f>
      </c>
      <c r="K105" s="11">
        <f>IF(D105="","",SUM(G105,H105,I105,J105))</f>
      </c>
      <c r="L105" s="11">
        <f>IF(D105="","",D105-K105)</f>
      </c>
      <c r="M105" s="12">
        <f>IF(OR(D105="",D105=0),"",L105/D105)</f>
      </c>
      <c r="N105" s="11">
        <f>IF((E105+F105)=0,"",ROUND(L105/((E105+F105)/60),2))</f>
      </c>
    </row>
    <row r="106">
      <c r="I106" s="11">
        <f>IF(E106="","",ROUND(((E106+F106)/60)*'Cost Rates'!$B$3,2))</f>
      </c>
      <c r="J106" s="11">
        <f>IF(D106="","",'Cost Rates'!$B$4)</f>
      </c>
      <c r="K106" s="11">
        <f>IF(D106="","",SUM(G106,H106,I106,J106))</f>
      </c>
      <c r="L106" s="11">
        <f>IF(D106="","",D106-K106)</f>
      </c>
      <c r="M106" s="12">
        <f>IF(OR(D106="",D106=0),"",L106/D106)</f>
      </c>
      <c r="N106" s="11">
        <f>IF((E106+F106)=0,"",ROUND(L106/((E106+F106)/60),2))</f>
      </c>
    </row>
    <row r="107">
      <c r="I107" s="11">
        <f>IF(E107="","",ROUND(((E107+F107)/60)*'Cost Rates'!$B$3,2))</f>
      </c>
      <c r="J107" s="11">
        <f>IF(D107="","",'Cost Rates'!$B$4)</f>
      </c>
      <c r="K107" s="11">
        <f>IF(D107="","",SUM(G107,H107,I107,J107))</f>
      </c>
      <c r="L107" s="11">
        <f>IF(D107="","",D107-K107)</f>
      </c>
      <c r="M107" s="12">
        <f>IF(OR(D107="",D107=0),"",L107/D107)</f>
      </c>
      <c r="N107" s="11">
        <f>IF((E107+F107)=0,"",ROUND(L107/((E107+F107)/60),2))</f>
      </c>
    </row>
    <row r="108">
      <c r="I108" s="11">
        <f>IF(E108="","",ROUND(((E108+F108)/60)*'Cost Rates'!$B$3,2))</f>
      </c>
      <c r="J108" s="11">
        <f>IF(D108="","",'Cost Rates'!$B$4)</f>
      </c>
      <c r="K108" s="11">
        <f>IF(D108="","",SUM(G108,H108,I108,J108))</f>
      </c>
      <c r="L108" s="11">
        <f>IF(D108="","",D108-K108)</f>
      </c>
      <c r="M108" s="12">
        <f>IF(OR(D108="",D108=0),"",L108/D108)</f>
      </c>
      <c r="N108" s="11">
        <f>IF((E108+F108)=0,"",ROUND(L108/((E108+F108)/60),2))</f>
      </c>
    </row>
    <row r="109">
      <c r="I109" s="11">
        <f>IF(E109="","",ROUND(((E109+F109)/60)*'Cost Rates'!$B$3,2))</f>
      </c>
      <c r="J109" s="11">
        <f>IF(D109="","",'Cost Rates'!$B$4)</f>
      </c>
      <c r="K109" s="11">
        <f>IF(D109="","",SUM(G109,H109,I109,J109))</f>
      </c>
      <c r="L109" s="11">
        <f>IF(D109="","",D109-K109)</f>
      </c>
      <c r="M109" s="12">
        <f>IF(OR(D109="",D109=0),"",L109/D109)</f>
      </c>
      <c r="N109" s="11">
        <f>IF((E109+F109)=0,"",ROUND(L109/((E109+F109)/60),2))</f>
      </c>
    </row>
    <row r="110">
      <c r="I110" s="11">
        <f>IF(E110="","",ROUND(((E110+F110)/60)*'Cost Rates'!$B$3,2))</f>
      </c>
      <c r="J110" s="11">
        <f>IF(D110="","",'Cost Rates'!$B$4)</f>
      </c>
      <c r="K110" s="11">
        <f>IF(D110="","",SUM(G110,H110,I110,J110))</f>
      </c>
      <c r="L110" s="11">
        <f>IF(D110="","",D110-K110)</f>
      </c>
      <c r="M110" s="12">
        <f>IF(OR(D110="",D110=0),"",L110/D110)</f>
      </c>
      <c r="N110" s="11">
        <f>IF((E110+F110)=0,"",ROUND(L110/((E110+F110)/60),2))</f>
      </c>
    </row>
    <row r="111">
      <c r="I111" s="11">
        <f>IF(E111="","",ROUND(((E111+F111)/60)*'Cost Rates'!$B$3,2))</f>
      </c>
      <c r="J111" s="11">
        <f>IF(D111="","",'Cost Rates'!$B$4)</f>
      </c>
      <c r="K111" s="11">
        <f>IF(D111="","",SUM(G111,H111,I111,J111))</f>
      </c>
      <c r="L111" s="11">
        <f>IF(D111="","",D111-K111)</f>
      </c>
      <c r="M111" s="12">
        <f>IF(OR(D111="",D111=0),"",L111/D111)</f>
      </c>
      <c r="N111" s="11">
        <f>IF((E111+F111)=0,"",ROUND(L111/((E111+F111)/60),2))</f>
      </c>
    </row>
    <row r="112">
      <c r="I112" s="11">
        <f>IF(E112="","",ROUND(((E112+F112)/60)*'Cost Rates'!$B$3,2))</f>
      </c>
      <c r="J112" s="11">
        <f>IF(D112="","",'Cost Rates'!$B$4)</f>
      </c>
      <c r="K112" s="11">
        <f>IF(D112="","",SUM(G112,H112,I112,J112))</f>
      </c>
      <c r="L112" s="11">
        <f>IF(D112="","",D112-K112)</f>
      </c>
      <c r="M112" s="12">
        <f>IF(OR(D112="",D112=0),"",L112/D112)</f>
      </c>
      <c r="N112" s="11">
        <f>IF((E112+F112)=0,"",ROUND(L112/((E112+F112)/60),2))</f>
      </c>
    </row>
    <row r="113">
      <c r="I113" s="11">
        <f>IF(E113="","",ROUND(((E113+F113)/60)*'Cost Rates'!$B$3,2))</f>
      </c>
      <c r="J113" s="11">
        <f>IF(D113="","",'Cost Rates'!$B$4)</f>
      </c>
      <c r="K113" s="11">
        <f>IF(D113="","",SUM(G113,H113,I113,J113))</f>
      </c>
      <c r="L113" s="11">
        <f>IF(D113="","",D113-K113)</f>
      </c>
      <c r="M113" s="12">
        <f>IF(OR(D113="",D113=0),"",L113/D113)</f>
      </c>
      <c r="N113" s="11">
        <f>IF((E113+F113)=0,"",ROUND(L113/((E113+F113)/60),2))</f>
      </c>
    </row>
    <row r="114">
      <c r="I114" s="11">
        <f>IF(E114="","",ROUND(((E114+F114)/60)*'Cost Rates'!$B$3,2))</f>
      </c>
      <c r="J114" s="11">
        <f>IF(D114="","",'Cost Rates'!$B$4)</f>
      </c>
      <c r="K114" s="11">
        <f>IF(D114="","",SUM(G114,H114,I114,J114))</f>
      </c>
      <c r="L114" s="11">
        <f>IF(D114="","",D114-K114)</f>
      </c>
      <c r="M114" s="12">
        <f>IF(OR(D114="",D114=0),"",L114/D114)</f>
      </c>
      <c r="N114" s="11">
        <f>IF((E114+F114)=0,"",ROUND(L114/((E114+F114)/60),2))</f>
      </c>
    </row>
    <row r="115">
      <c r="I115" s="11">
        <f>IF(E115="","",ROUND(((E115+F115)/60)*'Cost Rates'!$B$3,2))</f>
      </c>
      <c r="J115" s="11">
        <f>IF(D115="","",'Cost Rates'!$B$4)</f>
      </c>
      <c r="K115" s="11">
        <f>IF(D115="","",SUM(G115,H115,I115,J115))</f>
      </c>
      <c r="L115" s="11">
        <f>IF(D115="","",D115-K115)</f>
      </c>
      <c r="M115" s="12">
        <f>IF(OR(D115="",D115=0),"",L115/D115)</f>
      </c>
      <c r="N115" s="11">
        <f>IF((E115+F115)=0,"",ROUND(L115/((E115+F115)/60),2))</f>
      </c>
    </row>
    <row r="116">
      <c r="I116" s="11">
        <f>IF(E116="","",ROUND(((E116+F116)/60)*'Cost Rates'!$B$3,2))</f>
      </c>
      <c r="J116" s="11">
        <f>IF(D116="","",'Cost Rates'!$B$4)</f>
      </c>
      <c r="K116" s="11">
        <f>IF(D116="","",SUM(G116,H116,I116,J116))</f>
      </c>
      <c r="L116" s="11">
        <f>IF(D116="","",D116-K116)</f>
      </c>
      <c r="M116" s="12">
        <f>IF(OR(D116="",D116=0),"",L116/D116)</f>
      </c>
      <c r="N116" s="11">
        <f>IF((E116+F116)=0,"",ROUND(L116/((E116+F116)/60),2))</f>
      </c>
    </row>
    <row r="117">
      <c r="I117" s="11">
        <f>IF(E117="","",ROUND(((E117+F117)/60)*'Cost Rates'!$B$3,2))</f>
      </c>
      <c r="J117" s="11">
        <f>IF(D117="","",'Cost Rates'!$B$4)</f>
      </c>
      <c r="K117" s="11">
        <f>IF(D117="","",SUM(G117,H117,I117,J117))</f>
      </c>
      <c r="L117" s="11">
        <f>IF(D117="","",D117-K117)</f>
      </c>
      <c r="M117" s="12">
        <f>IF(OR(D117="",D117=0),"",L117/D117)</f>
      </c>
      <c r="N117" s="11">
        <f>IF((E117+F117)=0,"",ROUND(L117/((E117+F117)/60),2))</f>
      </c>
    </row>
    <row r="118">
      <c r="I118" s="11">
        <f>IF(E118="","",ROUND(((E118+F118)/60)*'Cost Rates'!$B$3,2))</f>
      </c>
      <c r="J118" s="11">
        <f>IF(D118="","",'Cost Rates'!$B$4)</f>
      </c>
      <c r="K118" s="11">
        <f>IF(D118="","",SUM(G118,H118,I118,J118))</f>
      </c>
      <c r="L118" s="11">
        <f>IF(D118="","",D118-K118)</f>
      </c>
      <c r="M118" s="12">
        <f>IF(OR(D118="",D118=0),"",L118/D118)</f>
      </c>
      <c r="N118" s="11">
        <f>IF((E118+F118)=0,"",ROUND(L118/((E118+F118)/60),2))</f>
      </c>
    </row>
    <row r="119">
      <c r="I119" s="11">
        <f>IF(E119="","",ROUND(((E119+F119)/60)*'Cost Rates'!$B$3,2))</f>
      </c>
      <c r="J119" s="11">
        <f>IF(D119="","",'Cost Rates'!$B$4)</f>
      </c>
      <c r="K119" s="11">
        <f>IF(D119="","",SUM(G119,H119,I119,J119))</f>
      </c>
      <c r="L119" s="11">
        <f>IF(D119="","",D119-K119)</f>
      </c>
      <c r="M119" s="12">
        <f>IF(OR(D119="",D119=0),"",L119/D119)</f>
      </c>
      <c r="N119" s="11">
        <f>IF((E119+F119)=0,"",ROUND(L119/((E119+F119)/60),2))</f>
      </c>
    </row>
    <row r="120">
      <c r="I120" s="11">
        <f>IF(E120="","",ROUND(((E120+F120)/60)*'Cost Rates'!$B$3,2))</f>
      </c>
      <c r="J120" s="11">
        <f>IF(D120="","",'Cost Rates'!$B$4)</f>
      </c>
      <c r="K120" s="11">
        <f>IF(D120="","",SUM(G120,H120,I120,J120))</f>
      </c>
      <c r="L120" s="11">
        <f>IF(D120="","",D120-K120)</f>
      </c>
      <c r="M120" s="12">
        <f>IF(OR(D120="",D120=0),"",L120/D120)</f>
      </c>
      <c r="N120" s="11">
        <f>IF((E120+F120)=0,"",ROUND(L120/((E120+F120)/60),2))</f>
      </c>
    </row>
    <row r="121">
      <c r="I121" s="11">
        <f>IF(E121="","",ROUND(((E121+F121)/60)*'Cost Rates'!$B$3,2))</f>
      </c>
      <c r="J121" s="11">
        <f>IF(D121="","",'Cost Rates'!$B$4)</f>
      </c>
      <c r="K121" s="11">
        <f>IF(D121="","",SUM(G121,H121,I121,J121))</f>
      </c>
      <c r="L121" s="11">
        <f>IF(D121="","",D121-K121)</f>
      </c>
      <c r="M121" s="12">
        <f>IF(OR(D121="",D121=0),"",L121/D121)</f>
      </c>
      <c r="N121" s="11">
        <f>IF((E121+F121)=0,"",ROUND(L121/((E121+F121)/60),2))</f>
      </c>
    </row>
    <row r="122">
      <c r="I122" s="11">
        <f>IF(E122="","",ROUND(((E122+F122)/60)*'Cost Rates'!$B$3,2))</f>
      </c>
      <c r="J122" s="11">
        <f>IF(D122="","",'Cost Rates'!$B$4)</f>
      </c>
      <c r="K122" s="11">
        <f>IF(D122="","",SUM(G122,H122,I122,J122))</f>
      </c>
      <c r="L122" s="11">
        <f>IF(D122="","",D122-K122)</f>
      </c>
      <c r="M122" s="12">
        <f>IF(OR(D122="",D122=0),"",L122/D122)</f>
      </c>
      <c r="N122" s="11">
        <f>IF((E122+F122)=0,"",ROUND(L122/((E122+F122)/60),2))</f>
      </c>
    </row>
    <row r="123">
      <c r="I123" s="11">
        <f>IF(E123="","",ROUND(((E123+F123)/60)*'Cost Rates'!$B$3,2))</f>
      </c>
      <c r="J123" s="11">
        <f>IF(D123="","",'Cost Rates'!$B$4)</f>
      </c>
      <c r="K123" s="11">
        <f>IF(D123="","",SUM(G123,H123,I123,J123))</f>
      </c>
      <c r="L123" s="11">
        <f>IF(D123="","",D123-K123)</f>
      </c>
      <c r="M123" s="12">
        <f>IF(OR(D123="",D123=0),"",L123/D123)</f>
      </c>
      <c r="N123" s="11">
        <f>IF((E123+F123)=0,"",ROUND(L123/((E123+F123)/60),2))</f>
      </c>
    </row>
    <row r="124">
      <c r="I124" s="11">
        <f>IF(E124="","",ROUND(((E124+F124)/60)*'Cost Rates'!$B$3,2))</f>
      </c>
      <c r="J124" s="11">
        <f>IF(D124="","",'Cost Rates'!$B$4)</f>
      </c>
      <c r="K124" s="11">
        <f>IF(D124="","",SUM(G124,H124,I124,J124))</f>
      </c>
      <c r="L124" s="11">
        <f>IF(D124="","",D124-K124)</f>
      </c>
      <c r="M124" s="12">
        <f>IF(OR(D124="",D124=0),"",L124/D124)</f>
      </c>
      <c r="N124" s="11">
        <f>IF((E124+F124)=0,"",ROUND(L124/((E124+F124)/60),2))</f>
      </c>
    </row>
    <row r="125">
      <c r="I125" s="11">
        <f>IF(E125="","",ROUND(((E125+F125)/60)*'Cost Rates'!$B$3,2))</f>
      </c>
      <c r="J125" s="11">
        <f>IF(D125="","",'Cost Rates'!$B$4)</f>
      </c>
      <c r="K125" s="11">
        <f>IF(D125="","",SUM(G125,H125,I125,J125))</f>
      </c>
      <c r="L125" s="11">
        <f>IF(D125="","",D125-K125)</f>
      </c>
      <c r="M125" s="12">
        <f>IF(OR(D125="",D125=0),"",L125/D125)</f>
      </c>
      <c r="N125" s="11">
        <f>IF((E125+F125)=0,"",ROUND(L125/((E125+F125)/60),2))</f>
      </c>
    </row>
    <row r="126">
      <c r="I126" s="11">
        <f>IF(E126="","",ROUND(((E126+F126)/60)*'Cost Rates'!$B$3,2))</f>
      </c>
      <c r="J126" s="11">
        <f>IF(D126="","",'Cost Rates'!$B$4)</f>
      </c>
      <c r="K126" s="11">
        <f>IF(D126="","",SUM(G126,H126,I126,J126))</f>
      </c>
      <c r="L126" s="11">
        <f>IF(D126="","",D126-K126)</f>
      </c>
      <c r="M126" s="12">
        <f>IF(OR(D126="",D126=0),"",L126/D126)</f>
      </c>
      <c r="N126" s="11">
        <f>IF((E126+F126)=0,"",ROUND(L126/((E126+F126)/60),2))</f>
      </c>
    </row>
    <row r="127">
      <c r="I127" s="11">
        <f>IF(E127="","",ROUND(((E127+F127)/60)*'Cost Rates'!$B$3,2))</f>
      </c>
      <c r="J127" s="11">
        <f>IF(D127="","",'Cost Rates'!$B$4)</f>
      </c>
      <c r="K127" s="11">
        <f>IF(D127="","",SUM(G127,H127,I127,J127))</f>
      </c>
      <c r="L127" s="11">
        <f>IF(D127="","",D127-K127)</f>
      </c>
      <c r="M127" s="12">
        <f>IF(OR(D127="",D127=0),"",L127/D127)</f>
      </c>
      <c r="N127" s="11">
        <f>IF((E127+F127)=0,"",ROUND(L127/((E127+F127)/60),2))</f>
      </c>
    </row>
    <row r="128">
      <c r="I128" s="11">
        <f>IF(E128="","",ROUND(((E128+F128)/60)*'Cost Rates'!$B$3,2))</f>
      </c>
      <c r="J128" s="11">
        <f>IF(D128="","",'Cost Rates'!$B$4)</f>
      </c>
      <c r="K128" s="11">
        <f>IF(D128="","",SUM(G128,H128,I128,J128))</f>
      </c>
      <c r="L128" s="11">
        <f>IF(D128="","",D128-K128)</f>
      </c>
      <c r="M128" s="12">
        <f>IF(OR(D128="",D128=0),"",L128/D128)</f>
      </c>
      <c r="N128" s="11">
        <f>IF((E128+F128)=0,"",ROUND(L128/((E128+F128)/60),2))</f>
      </c>
    </row>
    <row r="129">
      <c r="I129" s="11">
        <f>IF(E129="","",ROUND(((E129+F129)/60)*'Cost Rates'!$B$3,2))</f>
      </c>
      <c r="J129" s="11">
        <f>IF(D129="","",'Cost Rates'!$B$4)</f>
      </c>
      <c r="K129" s="11">
        <f>IF(D129="","",SUM(G129,H129,I129,J129))</f>
      </c>
      <c r="L129" s="11">
        <f>IF(D129="","",D129-K129)</f>
      </c>
      <c r="M129" s="12">
        <f>IF(OR(D129="",D129=0),"",L129/D129)</f>
      </c>
      <c r="N129" s="11">
        <f>IF((E129+F129)=0,"",ROUND(L129/((E129+F129)/60),2))</f>
      </c>
    </row>
    <row r="130">
      <c r="I130" s="11">
        <f>IF(E130="","",ROUND(((E130+F130)/60)*'Cost Rates'!$B$3,2))</f>
      </c>
      <c r="J130" s="11">
        <f>IF(D130="","",'Cost Rates'!$B$4)</f>
      </c>
      <c r="K130" s="11">
        <f>IF(D130="","",SUM(G130,H130,I130,J130))</f>
      </c>
      <c r="L130" s="11">
        <f>IF(D130="","",D130-K130)</f>
      </c>
      <c r="M130" s="12">
        <f>IF(OR(D130="",D130=0),"",L130/D130)</f>
      </c>
      <c r="N130" s="11">
        <f>IF((E130+F130)=0,"",ROUND(L130/((E130+F130)/60),2))</f>
      </c>
    </row>
    <row r="131">
      <c r="I131" s="11">
        <f>IF(E131="","",ROUND(((E131+F131)/60)*'Cost Rates'!$B$3,2))</f>
      </c>
      <c r="J131" s="11">
        <f>IF(D131="","",'Cost Rates'!$B$4)</f>
      </c>
      <c r="K131" s="11">
        <f>IF(D131="","",SUM(G131,H131,I131,J131))</f>
      </c>
      <c r="L131" s="11">
        <f>IF(D131="","",D131-K131)</f>
      </c>
      <c r="M131" s="12">
        <f>IF(OR(D131="",D131=0),"",L131/D131)</f>
      </c>
      <c r="N131" s="11">
        <f>IF((E131+F131)=0,"",ROUND(L131/((E131+F131)/60),2))</f>
      </c>
    </row>
    <row r="132">
      <c r="I132" s="11">
        <f>IF(E132="","",ROUND(((E132+F132)/60)*'Cost Rates'!$B$3,2))</f>
      </c>
      <c r="J132" s="11">
        <f>IF(D132="","",'Cost Rates'!$B$4)</f>
      </c>
      <c r="K132" s="11">
        <f>IF(D132="","",SUM(G132,H132,I132,J132))</f>
      </c>
      <c r="L132" s="11">
        <f>IF(D132="","",D132-K132)</f>
      </c>
      <c r="M132" s="12">
        <f>IF(OR(D132="",D132=0),"",L132/D132)</f>
      </c>
      <c r="N132" s="11">
        <f>IF((E132+F132)=0,"",ROUND(L132/((E132+F132)/60),2))</f>
      </c>
    </row>
    <row r="133">
      <c r="I133" s="11">
        <f>IF(E133="","",ROUND(((E133+F133)/60)*'Cost Rates'!$B$3,2))</f>
      </c>
      <c r="J133" s="11">
        <f>IF(D133="","",'Cost Rates'!$B$4)</f>
      </c>
      <c r="K133" s="11">
        <f>IF(D133="","",SUM(G133,H133,I133,J133))</f>
      </c>
      <c r="L133" s="11">
        <f>IF(D133="","",D133-K133)</f>
      </c>
      <c r="M133" s="12">
        <f>IF(OR(D133="",D133=0),"",L133/D133)</f>
      </c>
      <c r="N133" s="11">
        <f>IF((E133+F133)=0,"",ROUND(L133/((E133+F133)/60),2))</f>
      </c>
    </row>
    <row r="134">
      <c r="I134" s="11">
        <f>IF(E134="","",ROUND(((E134+F134)/60)*'Cost Rates'!$B$3,2))</f>
      </c>
      <c r="J134" s="11">
        <f>IF(D134="","",'Cost Rates'!$B$4)</f>
      </c>
      <c r="K134" s="11">
        <f>IF(D134="","",SUM(G134,H134,I134,J134))</f>
      </c>
      <c r="L134" s="11">
        <f>IF(D134="","",D134-K134)</f>
      </c>
      <c r="M134" s="12">
        <f>IF(OR(D134="",D134=0),"",L134/D134)</f>
      </c>
      <c r="N134" s="11">
        <f>IF((E134+F134)=0,"",ROUND(L134/((E134+F134)/60),2))</f>
      </c>
    </row>
    <row r="135">
      <c r="I135" s="11">
        <f>IF(E135="","",ROUND(((E135+F135)/60)*'Cost Rates'!$B$3,2))</f>
      </c>
      <c r="J135" s="11">
        <f>IF(D135="","",'Cost Rates'!$B$4)</f>
      </c>
      <c r="K135" s="11">
        <f>IF(D135="","",SUM(G135,H135,I135,J135))</f>
      </c>
      <c r="L135" s="11">
        <f>IF(D135="","",D135-K135)</f>
      </c>
      <c r="M135" s="12">
        <f>IF(OR(D135="",D135=0),"",L135/D135)</f>
      </c>
      <c r="N135" s="11">
        <f>IF((E135+F135)=0,"",ROUND(L135/((E135+F135)/60),2))</f>
      </c>
    </row>
    <row r="136">
      <c r="I136" s="11">
        <f>IF(E136="","",ROUND(((E136+F136)/60)*'Cost Rates'!$B$3,2))</f>
      </c>
      <c r="J136" s="11">
        <f>IF(D136="","",'Cost Rates'!$B$4)</f>
      </c>
      <c r="K136" s="11">
        <f>IF(D136="","",SUM(G136,H136,I136,J136))</f>
      </c>
      <c r="L136" s="11">
        <f>IF(D136="","",D136-K136)</f>
      </c>
      <c r="M136" s="12">
        <f>IF(OR(D136="",D136=0),"",L136/D136)</f>
      </c>
      <c r="N136" s="11">
        <f>IF((E136+F136)=0,"",ROUND(L136/((E136+F136)/60),2))</f>
      </c>
    </row>
    <row r="137">
      <c r="I137" s="11">
        <f>IF(E137="","",ROUND(((E137+F137)/60)*'Cost Rates'!$B$3,2))</f>
      </c>
      <c r="J137" s="11">
        <f>IF(D137="","",'Cost Rates'!$B$4)</f>
      </c>
      <c r="K137" s="11">
        <f>IF(D137="","",SUM(G137,H137,I137,J137))</f>
      </c>
      <c r="L137" s="11">
        <f>IF(D137="","",D137-K137)</f>
      </c>
      <c r="M137" s="12">
        <f>IF(OR(D137="",D137=0),"",L137/D137)</f>
      </c>
      <c r="N137" s="11">
        <f>IF((E137+F137)=0,"",ROUND(L137/((E137+F137)/60),2))</f>
      </c>
    </row>
    <row r="138">
      <c r="I138" s="11">
        <f>IF(E138="","",ROUND(((E138+F138)/60)*'Cost Rates'!$B$3,2))</f>
      </c>
      <c r="J138" s="11">
        <f>IF(D138="","",'Cost Rates'!$B$4)</f>
      </c>
      <c r="K138" s="11">
        <f>IF(D138="","",SUM(G138,H138,I138,J138))</f>
      </c>
      <c r="L138" s="11">
        <f>IF(D138="","",D138-K138)</f>
      </c>
      <c r="M138" s="12">
        <f>IF(OR(D138="",D138=0),"",L138/D138)</f>
      </c>
      <c r="N138" s="11">
        <f>IF((E138+F138)=0,"",ROUND(L138/((E138+F138)/60),2))</f>
      </c>
    </row>
    <row r="139">
      <c r="I139" s="11">
        <f>IF(E139="","",ROUND(((E139+F139)/60)*'Cost Rates'!$B$3,2))</f>
      </c>
      <c r="J139" s="11">
        <f>IF(D139="","",'Cost Rates'!$B$4)</f>
      </c>
      <c r="K139" s="11">
        <f>IF(D139="","",SUM(G139,H139,I139,J139))</f>
      </c>
      <c r="L139" s="11">
        <f>IF(D139="","",D139-K139)</f>
      </c>
      <c r="M139" s="12">
        <f>IF(OR(D139="",D139=0),"",L139/D139)</f>
      </c>
      <c r="N139" s="11">
        <f>IF((E139+F139)=0,"",ROUND(L139/((E139+F139)/60),2))</f>
      </c>
    </row>
    <row r="140">
      <c r="I140" s="11">
        <f>IF(E140="","",ROUND(((E140+F140)/60)*'Cost Rates'!$B$3,2))</f>
      </c>
      <c r="J140" s="11">
        <f>IF(D140="","",'Cost Rates'!$B$4)</f>
      </c>
      <c r="K140" s="11">
        <f>IF(D140="","",SUM(G140,H140,I140,J140))</f>
      </c>
      <c r="L140" s="11">
        <f>IF(D140="","",D140-K140)</f>
      </c>
      <c r="M140" s="12">
        <f>IF(OR(D140="",D140=0),"",L140/D140)</f>
      </c>
      <c r="N140" s="11">
        <f>IF((E140+F140)=0,"",ROUND(L140/((E140+F140)/60),2))</f>
      </c>
    </row>
    <row r="141">
      <c r="I141" s="11">
        <f>IF(E141="","",ROUND(((E141+F141)/60)*'Cost Rates'!$B$3,2))</f>
      </c>
      <c r="J141" s="11">
        <f>IF(D141="","",'Cost Rates'!$B$4)</f>
      </c>
      <c r="K141" s="11">
        <f>IF(D141="","",SUM(G141,H141,I141,J141))</f>
      </c>
      <c r="L141" s="11">
        <f>IF(D141="","",D141-K141)</f>
      </c>
      <c r="M141" s="12">
        <f>IF(OR(D141="",D141=0),"",L141/D141)</f>
      </c>
      <c r="N141" s="11">
        <f>IF((E141+F141)=0,"",ROUND(L141/((E141+F141)/60),2))</f>
      </c>
    </row>
    <row r="142">
      <c r="I142" s="11">
        <f>IF(E142="","",ROUND(((E142+F142)/60)*'Cost Rates'!$B$3,2))</f>
      </c>
      <c r="J142" s="11">
        <f>IF(D142="","",'Cost Rates'!$B$4)</f>
      </c>
      <c r="K142" s="11">
        <f>IF(D142="","",SUM(G142,H142,I142,J142))</f>
      </c>
      <c r="L142" s="11">
        <f>IF(D142="","",D142-K142)</f>
      </c>
      <c r="M142" s="12">
        <f>IF(OR(D142="",D142=0),"",L142/D142)</f>
      </c>
      <c r="N142" s="11">
        <f>IF((E142+F142)=0,"",ROUND(L142/((E142+F142)/60),2))</f>
      </c>
    </row>
    <row r="143">
      <c r="I143" s="11">
        <f>IF(E143="","",ROUND(((E143+F143)/60)*'Cost Rates'!$B$3,2))</f>
      </c>
      <c r="J143" s="11">
        <f>IF(D143="","",'Cost Rates'!$B$4)</f>
      </c>
      <c r="K143" s="11">
        <f>IF(D143="","",SUM(G143,H143,I143,J143))</f>
      </c>
      <c r="L143" s="11">
        <f>IF(D143="","",D143-K143)</f>
      </c>
      <c r="M143" s="12">
        <f>IF(OR(D143="",D143=0),"",L143/D143)</f>
      </c>
      <c r="N143" s="11">
        <f>IF((E143+F143)=0,"",ROUND(L143/((E143+F143)/60),2))</f>
      </c>
    </row>
    <row r="144">
      <c r="I144" s="11">
        <f>IF(E144="","",ROUND(((E144+F144)/60)*'Cost Rates'!$B$3,2))</f>
      </c>
      <c r="J144" s="11">
        <f>IF(D144="","",'Cost Rates'!$B$4)</f>
      </c>
      <c r="K144" s="11">
        <f>IF(D144="","",SUM(G144,H144,I144,J144))</f>
      </c>
      <c r="L144" s="11">
        <f>IF(D144="","",D144-K144)</f>
      </c>
      <c r="M144" s="12">
        <f>IF(OR(D144="",D144=0),"",L144/D144)</f>
      </c>
      <c r="N144" s="11">
        <f>IF((E144+F144)=0,"",ROUND(L144/((E144+F144)/60),2))</f>
      </c>
    </row>
    <row r="145">
      <c r="I145" s="11">
        <f>IF(E145="","",ROUND(((E145+F145)/60)*'Cost Rates'!$B$3,2))</f>
      </c>
      <c r="J145" s="11">
        <f>IF(D145="","",'Cost Rates'!$B$4)</f>
      </c>
      <c r="K145" s="11">
        <f>IF(D145="","",SUM(G145,H145,I145,J145))</f>
      </c>
      <c r="L145" s="11">
        <f>IF(D145="","",D145-K145)</f>
      </c>
      <c r="M145" s="12">
        <f>IF(OR(D145="",D145=0),"",L145/D145)</f>
      </c>
      <c r="N145" s="11">
        <f>IF((E145+F145)=0,"",ROUND(L145/((E145+F145)/60),2))</f>
      </c>
    </row>
    <row r="146">
      <c r="I146" s="11">
        <f>IF(E146="","",ROUND(((E146+F146)/60)*'Cost Rates'!$B$3,2))</f>
      </c>
      <c r="J146" s="11">
        <f>IF(D146="","",'Cost Rates'!$B$4)</f>
      </c>
      <c r="K146" s="11">
        <f>IF(D146="","",SUM(G146,H146,I146,J146))</f>
      </c>
      <c r="L146" s="11">
        <f>IF(D146="","",D146-K146)</f>
      </c>
      <c r="M146" s="12">
        <f>IF(OR(D146="",D146=0),"",L146/D146)</f>
      </c>
      <c r="N146" s="11">
        <f>IF((E146+F146)=0,"",ROUND(L146/((E146+F146)/60),2))</f>
      </c>
    </row>
    <row r="147">
      <c r="I147" s="11">
        <f>IF(E147="","",ROUND(((E147+F147)/60)*'Cost Rates'!$B$3,2))</f>
      </c>
      <c r="J147" s="11">
        <f>IF(D147="","",'Cost Rates'!$B$4)</f>
      </c>
      <c r="K147" s="11">
        <f>IF(D147="","",SUM(G147,H147,I147,J147))</f>
      </c>
      <c r="L147" s="11">
        <f>IF(D147="","",D147-K147)</f>
      </c>
      <c r="M147" s="12">
        <f>IF(OR(D147="",D147=0),"",L147/D147)</f>
      </c>
      <c r="N147" s="11">
        <f>IF((E147+F147)=0,"",ROUND(L147/((E147+F147)/60),2))</f>
      </c>
    </row>
    <row r="148">
      <c r="I148" s="11">
        <f>IF(E148="","",ROUND(((E148+F148)/60)*'Cost Rates'!$B$3,2))</f>
      </c>
      <c r="J148" s="11">
        <f>IF(D148="","",'Cost Rates'!$B$4)</f>
      </c>
      <c r="K148" s="11">
        <f>IF(D148="","",SUM(G148,H148,I148,J148))</f>
      </c>
      <c r="L148" s="11">
        <f>IF(D148="","",D148-K148)</f>
      </c>
      <c r="M148" s="12">
        <f>IF(OR(D148="",D148=0),"",L148/D148)</f>
      </c>
      <c r="N148" s="11">
        <f>IF((E148+F148)=0,"",ROUND(L148/((E148+F148)/60),2))</f>
      </c>
    </row>
    <row r="149">
      <c r="I149" s="11">
        <f>IF(E149="","",ROUND(((E149+F149)/60)*'Cost Rates'!$B$3,2))</f>
      </c>
      <c r="J149" s="11">
        <f>IF(D149="","",'Cost Rates'!$B$4)</f>
      </c>
      <c r="K149" s="11">
        <f>IF(D149="","",SUM(G149,H149,I149,J149))</f>
      </c>
      <c r="L149" s="11">
        <f>IF(D149="","",D149-K149)</f>
      </c>
      <c r="M149" s="12">
        <f>IF(OR(D149="",D149=0),"",L149/D149)</f>
      </c>
      <c r="N149" s="11">
        <f>IF((E149+F149)=0,"",ROUND(L149/((E149+F149)/60),2))</f>
      </c>
    </row>
    <row r="150">
      <c r="I150" s="11">
        <f>IF(E150="","",ROUND(((E150+F150)/60)*'Cost Rates'!$B$3,2))</f>
      </c>
      <c r="J150" s="11">
        <f>IF(D150="","",'Cost Rates'!$B$4)</f>
      </c>
      <c r="K150" s="11">
        <f>IF(D150="","",SUM(G150,H150,I150,J150))</f>
      </c>
      <c r="L150" s="11">
        <f>IF(D150="","",D150-K150)</f>
      </c>
      <c r="M150" s="12">
        <f>IF(OR(D150="",D150=0),"",L150/D150)</f>
      </c>
      <c r="N150" s="11">
        <f>IF((E150+F150)=0,"",ROUND(L150/((E150+F150)/60),2))</f>
      </c>
    </row>
    <row r="151">
      <c r="I151" s="11">
        <f>IF(E151="","",ROUND(((E151+F151)/60)*'Cost Rates'!$B$3,2))</f>
      </c>
      <c r="J151" s="11">
        <f>IF(D151="","",'Cost Rates'!$B$4)</f>
      </c>
      <c r="K151" s="11">
        <f>IF(D151="","",SUM(G151,H151,I151,J151))</f>
      </c>
      <c r="L151" s="11">
        <f>IF(D151="","",D151-K151)</f>
      </c>
      <c r="M151" s="12">
        <f>IF(OR(D151="",D151=0),"",L151/D151)</f>
      </c>
      <c r="N151" s="11">
        <f>IF((E151+F151)=0,"",ROUND(L151/((E151+F151)/60),2))</f>
      </c>
    </row>
    <row r="152">
      <c r="I152" s="11">
        <f>IF(E152="","",ROUND(((E152+F152)/60)*'Cost Rates'!$B$3,2))</f>
      </c>
      <c r="J152" s="11">
        <f>IF(D152="","",'Cost Rates'!$B$4)</f>
      </c>
      <c r="K152" s="11">
        <f>IF(D152="","",SUM(G152,H152,I152,J152))</f>
      </c>
      <c r="L152" s="11">
        <f>IF(D152="","",D152-K152)</f>
      </c>
      <c r="M152" s="12">
        <f>IF(OR(D152="",D152=0),"",L152/D152)</f>
      </c>
      <c r="N152" s="11">
        <f>IF((E152+F152)=0,"",ROUND(L152/((E152+F152)/60),2))</f>
      </c>
    </row>
    <row r="153">
      <c r="I153" s="11">
        <f>IF(E153="","",ROUND(((E153+F153)/60)*'Cost Rates'!$B$3,2))</f>
      </c>
      <c r="J153" s="11">
        <f>IF(D153="","",'Cost Rates'!$B$4)</f>
      </c>
      <c r="K153" s="11">
        <f>IF(D153="","",SUM(G153,H153,I153,J153))</f>
      </c>
      <c r="L153" s="11">
        <f>IF(D153="","",D153-K153)</f>
      </c>
      <c r="M153" s="12">
        <f>IF(OR(D153="",D153=0),"",L153/D153)</f>
      </c>
      <c r="N153" s="11">
        <f>IF((E153+F153)=0,"",ROUND(L153/((E153+F153)/60),2))</f>
      </c>
    </row>
    <row r="154">
      <c r="I154" s="11">
        <f>IF(E154="","",ROUND(((E154+F154)/60)*'Cost Rates'!$B$3,2))</f>
      </c>
      <c r="J154" s="11">
        <f>IF(D154="","",'Cost Rates'!$B$4)</f>
      </c>
      <c r="K154" s="11">
        <f>IF(D154="","",SUM(G154,H154,I154,J154))</f>
      </c>
      <c r="L154" s="11">
        <f>IF(D154="","",D154-K154)</f>
      </c>
      <c r="M154" s="12">
        <f>IF(OR(D154="",D154=0),"",L154/D154)</f>
      </c>
      <c r="N154" s="11">
        <f>IF((E154+F154)=0,"",ROUND(L154/((E154+F154)/60),2))</f>
      </c>
    </row>
    <row r="155">
      <c r="I155" s="11">
        <f>IF(E155="","",ROUND(((E155+F155)/60)*'Cost Rates'!$B$3,2))</f>
      </c>
      <c r="J155" s="11">
        <f>IF(D155="","",'Cost Rates'!$B$4)</f>
      </c>
      <c r="K155" s="11">
        <f>IF(D155="","",SUM(G155,H155,I155,J155))</f>
      </c>
      <c r="L155" s="11">
        <f>IF(D155="","",D155-K155)</f>
      </c>
      <c r="M155" s="12">
        <f>IF(OR(D155="",D155=0),"",L155/D155)</f>
      </c>
      <c r="N155" s="11">
        <f>IF((E155+F155)=0,"",ROUND(L155/((E155+F155)/60),2))</f>
      </c>
    </row>
    <row r="156">
      <c r="I156" s="11">
        <f>IF(E156="","",ROUND(((E156+F156)/60)*'Cost Rates'!$B$3,2))</f>
      </c>
      <c r="J156" s="11">
        <f>IF(D156="","",'Cost Rates'!$B$4)</f>
      </c>
      <c r="K156" s="11">
        <f>IF(D156="","",SUM(G156,H156,I156,J156))</f>
      </c>
      <c r="L156" s="11">
        <f>IF(D156="","",D156-K156)</f>
      </c>
      <c r="M156" s="12">
        <f>IF(OR(D156="",D156=0),"",L156/D156)</f>
      </c>
      <c r="N156" s="11">
        <f>IF((E156+F156)=0,"",ROUND(L156/((E156+F156)/60),2))</f>
      </c>
    </row>
    <row r="157">
      <c r="I157" s="11">
        <f>IF(E157="","",ROUND(((E157+F157)/60)*'Cost Rates'!$B$3,2))</f>
      </c>
      <c r="J157" s="11">
        <f>IF(D157="","",'Cost Rates'!$B$4)</f>
      </c>
      <c r="K157" s="11">
        <f>IF(D157="","",SUM(G157,H157,I157,J157))</f>
      </c>
      <c r="L157" s="11">
        <f>IF(D157="","",D157-K157)</f>
      </c>
      <c r="M157" s="12">
        <f>IF(OR(D157="",D157=0),"",L157/D157)</f>
      </c>
      <c r="N157" s="11">
        <f>IF((E157+F157)=0,"",ROUND(L157/((E157+F157)/60),2))</f>
      </c>
    </row>
    <row r="158">
      <c r="I158" s="11">
        <f>IF(E158="","",ROUND(((E158+F158)/60)*'Cost Rates'!$B$3,2))</f>
      </c>
      <c r="J158" s="11">
        <f>IF(D158="","",'Cost Rates'!$B$4)</f>
      </c>
      <c r="K158" s="11">
        <f>IF(D158="","",SUM(G158,H158,I158,J158))</f>
      </c>
      <c r="L158" s="11">
        <f>IF(D158="","",D158-K158)</f>
      </c>
      <c r="M158" s="12">
        <f>IF(OR(D158="",D158=0),"",L158/D158)</f>
      </c>
      <c r="N158" s="11">
        <f>IF((E158+F158)=0,"",ROUND(L158/((E158+F158)/60),2))</f>
      </c>
    </row>
    <row r="159">
      <c r="I159" s="11">
        <f>IF(E159="","",ROUND(((E159+F159)/60)*'Cost Rates'!$B$3,2))</f>
      </c>
      <c r="J159" s="11">
        <f>IF(D159="","",'Cost Rates'!$B$4)</f>
      </c>
      <c r="K159" s="11">
        <f>IF(D159="","",SUM(G159,H159,I159,J159))</f>
      </c>
      <c r="L159" s="11">
        <f>IF(D159="","",D159-K159)</f>
      </c>
      <c r="M159" s="12">
        <f>IF(OR(D159="",D159=0),"",L159/D159)</f>
      </c>
      <c r="N159" s="11">
        <f>IF((E159+F159)=0,"",ROUND(L159/((E159+F159)/60),2))</f>
      </c>
    </row>
    <row r="160">
      <c r="I160" s="11">
        <f>IF(E160="","",ROUND(((E160+F160)/60)*'Cost Rates'!$B$3,2))</f>
      </c>
      <c r="J160" s="11">
        <f>IF(D160="","",'Cost Rates'!$B$4)</f>
      </c>
      <c r="K160" s="11">
        <f>IF(D160="","",SUM(G160,H160,I160,J160))</f>
      </c>
      <c r="L160" s="11">
        <f>IF(D160="","",D160-K160)</f>
      </c>
      <c r="M160" s="12">
        <f>IF(OR(D160="",D160=0),"",L160/D160)</f>
      </c>
      <c r="N160" s="11">
        <f>IF((E160+F160)=0,"",ROUND(L160/((E160+F160)/60),2))</f>
      </c>
    </row>
    <row r="161">
      <c r="I161" s="11">
        <f>IF(E161="","",ROUND(((E161+F161)/60)*'Cost Rates'!$B$3,2))</f>
      </c>
      <c r="J161" s="11">
        <f>IF(D161="","",'Cost Rates'!$B$4)</f>
      </c>
      <c r="K161" s="11">
        <f>IF(D161="","",SUM(G161,H161,I161,J161))</f>
      </c>
      <c r="L161" s="11">
        <f>IF(D161="","",D161-K161)</f>
      </c>
      <c r="M161" s="12">
        <f>IF(OR(D161="",D161=0),"",L161/D161)</f>
      </c>
      <c r="N161" s="11">
        <f>IF((E161+F161)=0,"",ROUND(L161/((E161+F161)/60),2))</f>
      </c>
    </row>
    <row r="162">
      <c r="I162" s="11">
        <f>IF(E162="","",ROUND(((E162+F162)/60)*'Cost Rates'!$B$3,2))</f>
      </c>
      <c r="J162" s="11">
        <f>IF(D162="","",'Cost Rates'!$B$4)</f>
      </c>
      <c r="K162" s="11">
        <f>IF(D162="","",SUM(G162,H162,I162,J162))</f>
      </c>
      <c r="L162" s="11">
        <f>IF(D162="","",D162-K162)</f>
      </c>
      <c r="M162" s="12">
        <f>IF(OR(D162="",D162=0),"",L162/D162)</f>
      </c>
      <c r="N162" s="11">
        <f>IF((E162+F162)=0,"",ROUND(L162/((E162+F162)/60),2))</f>
      </c>
    </row>
    <row r="163">
      <c r="I163" s="11">
        <f>IF(E163="","",ROUND(((E163+F163)/60)*'Cost Rates'!$B$3,2))</f>
      </c>
      <c r="J163" s="11">
        <f>IF(D163="","",'Cost Rates'!$B$4)</f>
      </c>
      <c r="K163" s="11">
        <f>IF(D163="","",SUM(G163,H163,I163,J163))</f>
      </c>
      <c r="L163" s="11">
        <f>IF(D163="","",D163-K163)</f>
      </c>
      <c r="M163" s="12">
        <f>IF(OR(D163="",D163=0),"",L163/D163)</f>
      </c>
      <c r="N163" s="11">
        <f>IF((E163+F163)=0,"",ROUND(L163/((E163+F163)/60),2))</f>
      </c>
    </row>
    <row r="164">
      <c r="I164" s="11">
        <f>IF(E164="","",ROUND(((E164+F164)/60)*'Cost Rates'!$B$3,2))</f>
      </c>
      <c r="J164" s="11">
        <f>IF(D164="","",'Cost Rates'!$B$4)</f>
      </c>
      <c r="K164" s="11">
        <f>IF(D164="","",SUM(G164,H164,I164,J164))</f>
      </c>
      <c r="L164" s="11">
        <f>IF(D164="","",D164-K164)</f>
      </c>
      <c r="M164" s="12">
        <f>IF(OR(D164="",D164=0),"",L164/D164)</f>
      </c>
      <c r="N164" s="11">
        <f>IF((E164+F164)=0,"",ROUND(L164/((E164+F164)/60),2))</f>
      </c>
    </row>
    <row r="165">
      <c r="I165" s="11">
        <f>IF(E165="","",ROUND(((E165+F165)/60)*'Cost Rates'!$B$3,2))</f>
      </c>
      <c r="J165" s="11">
        <f>IF(D165="","",'Cost Rates'!$B$4)</f>
      </c>
      <c r="K165" s="11">
        <f>IF(D165="","",SUM(G165,H165,I165,J165))</f>
      </c>
      <c r="L165" s="11">
        <f>IF(D165="","",D165-K165)</f>
      </c>
      <c r="M165" s="12">
        <f>IF(OR(D165="",D165=0),"",L165/D165)</f>
      </c>
      <c r="N165" s="11">
        <f>IF((E165+F165)=0,"",ROUND(L165/((E165+F165)/60),2))</f>
      </c>
    </row>
    <row r="166">
      <c r="I166" s="11">
        <f>IF(E166="","",ROUND(((E166+F166)/60)*'Cost Rates'!$B$3,2))</f>
      </c>
      <c r="J166" s="11">
        <f>IF(D166="","",'Cost Rates'!$B$4)</f>
      </c>
      <c r="K166" s="11">
        <f>IF(D166="","",SUM(G166,H166,I166,J166))</f>
      </c>
      <c r="L166" s="11">
        <f>IF(D166="","",D166-K166)</f>
      </c>
      <c r="M166" s="12">
        <f>IF(OR(D166="",D166=0),"",L166/D166)</f>
      </c>
      <c r="N166" s="11">
        <f>IF((E166+F166)=0,"",ROUND(L166/((E166+F166)/60),2))</f>
      </c>
    </row>
    <row r="167">
      <c r="I167" s="11">
        <f>IF(E167="","",ROUND(((E167+F167)/60)*'Cost Rates'!$B$3,2))</f>
      </c>
      <c r="J167" s="11">
        <f>IF(D167="","",'Cost Rates'!$B$4)</f>
      </c>
      <c r="K167" s="11">
        <f>IF(D167="","",SUM(G167,H167,I167,J167))</f>
      </c>
      <c r="L167" s="11">
        <f>IF(D167="","",D167-K167)</f>
      </c>
      <c r="M167" s="12">
        <f>IF(OR(D167="",D167=0),"",L167/D167)</f>
      </c>
      <c r="N167" s="11">
        <f>IF((E167+F167)=0,"",ROUND(L167/((E167+F167)/60),2))</f>
      </c>
    </row>
    <row r="168">
      <c r="I168" s="11">
        <f>IF(E168="","",ROUND(((E168+F168)/60)*'Cost Rates'!$B$3,2))</f>
      </c>
      <c r="J168" s="11">
        <f>IF(D168="","",'Cost Rates'!$B$4)</f>
      </c>
      <c r="K168" s="11">
        <f>IF(D168="","",SUM(G168,H168,I168,J168))</f>
      </c>
      <c r="L168" s="11">
        <f>IF(D168="","",D168-K168)</f>
      </c>
      <c r="M168" s="12">
        <f>IF(OR(D168="",D168=0),"",L168/D168)</f>
      </c>
      <c r="N168" s="11">
        <f>IF((E168+F168)=0,"",ROUND(L168/((E168+F168)/60),2))</f>
      </c>
    </row>
    <row r="169">
      <c r="I169" s="11">
        <f>IF(E169="","",ROUND(((E169+F169)/60)*'Cost Rates'!$B$3,2))</f>
      </c>
      <c r="J169" s="11">
        <f>IF(D169="","",'Cost Rates'!$B$4)</f>
      </c>
      <c r="K169" s="11">
        <f>IF(D169="","",SUM(G169,H169,I169,J169))</f>
      </c>
      <c r="L169" s="11">
        <f>IF(D169="","",D169-K169)</f>
      </c>
      <c r="M169" s="12">
        <f>IF(OR(D169="",D169=0),"",L169/D169)</f>
      </c>
      <c r="N169" s="11">
        <f>IF((E169+F169)=0,"",ROUND(L169/((E169+F169)/60),2))</f>
      </c>
    </row>
    <row r="170">
      <c r="I170" s="11">
        <f>IF(E170="","",ROUND(((E170+F170)/60)*'Cost Rates'!$B$3,2))</f>
      </c>
      <c r="J170" s="11">
        <f>IF(D170="","",'Cost Rates'!$B$4)</f>
      </c>
      <c r="K170" s="11">
        <f>IF(D170="","",SUM(G170,H170,I170,J170))</f>
      </c>
      <c r="L170" s="11">
        <f>IF(D170="","",D170-K170)</f>
      </c>
      <c r="M170" s="12">
        <f>IF(OR(D170="",D170=0),"",L170/D170)</f>
      </c>
      <c r="N170" s="11">
        <f>IF((E170+F170)=0,"",ROUND(L170/((E170+F170)/60),2))</f>
      </c>
    </row>
    <row r="171">
      <c r="I171" s="11">
        <f>IF(E171="","",ROUND(((E171+F171)/60)*'Cost Rates'!$B$3,2))</f>
      </c>
      <c r="J171" s="11">
        <f>IF(D171="","",'Cost Rates'!$B$4)</f>
      </c>
      <c r="K171" s="11">
        <f>IF(D171="","",SUM(G171,H171,I171,J171))</f>
      </c>
      <c r="L171" s="11">
        <f>IF(D171="","",D171-K171)</f>
      </c>
      <c r="M171" s="12">
        <f>IF(OR(D171="",D171=0),"",L171/D171)</f>
      </c>
      <c r="N171" s="11">
        <f>IF((E171+F171)=0,"",ROUND(L171/((E171+F171)/60),2))</f>
      </c>
    </row>
    <row r="172">
      <c r="I172" s="11">
        <f>IF(E172="","",ROUND(((E172+F172)/60)*'Cost Rates'!$B$3,2))</f>
      </c>
      <c r="J172" s="11">
        <f>IF(D172="","",'Cost Rates'!$B$4)</f>
      </c>
      <c r="K172" s="11">
        <f>IF(D172="","",SUM(G172,H172,I172,J172))</f>
      </c>
      <c r="L172" s="11">
        <f>IF(D172="","",D172-K172)</f>
      </c>
      <c r="M172" s="12">
        <f>IF(OR(D172="",D172=0),"",L172/D172)</f>
      </c>
      <c r="N172" s="11">
        <f>IF((E172+F172)=0,"",ROUND(L172/((E172+F172)/60),2))</f>
      </c>
    </row>
    <row r="173">
      <c r="I173" s="11">
        <f>IF(E173="","",ROUND(((E173+F173)/60)*'Cost Rates'!$B$3,2))</f>
      </c>
      <c r="J173" s="11">
        <f>IF(D173="","",'Cost Rates'!$B$4)</f>
      </c>
      <c r="K173" s="11">
        <f>IF(D173="","",SUM(G173,H173,I173,J173))</f>
      </c>
      <c r="L173" s="11">
        <f>IF(D173="","",D173-K173)</f>
      </c>
      <c r="M173" s="12">
        <f>IF(OR(D173="",D173=0),"",L173/D173)</f>
      </c>
      <c r="N173" s="11">
        <f>IF((E173+F173)=0,"",ROUND(L173/((E173+F173)/60),2))</f>
      </c>
    </row>
    <row r="174">
      <c r="I174" s="11">
        <f>IF(E174="","",ROUND(((E174+F174)/60)*'Cost Rates'!$B$3,2))</f>
      </c>
      <c r="J174" s="11">
        <f>IF(D174="","",'Cost Rates'!$B$4)</f>
      </c>
      <c r="K174" s="11">
        <f>IF(D174="","",SUM(G174,H174,I174,J174))</f>
      </c>
      <c r="L174" s="11">
        <f>IF(D174="","",D174-K174)</f>
      </c>
      <c r="M174" s="12">
        <f>IF(OR(D174="",D174=0),"",L174/D174)</f>
      </c>
      <c r="N174" s="11">
        <f>IF((E174+F174)=0,"",ROUND(L174/((E174+F174)/60),2))</f>
      </c>
    </row>
    <row r="175">
      <c r="I175" s="11">
        <f>IF(E175="","",ROUND(((E175+F175)/60)*'Cost Rates'!$B$3,2))</f>
      </c>
      <c r="J175" s="11">
        <f>IF(D175="","",'Cost Rates'!$B$4)</f>
      </c>
      <c r="K175" s="11">
        <f>IF(D175="","",SUM(G175,H175,I175,J175))</f>
      </c>
      <c r="L175" s="11">
        <f>IF(D175="","",D175-K175)</f>
      </c>
      <c r="M175" s="12">
        <f>IF(OR(D175="",D175=0),"",L175/D175)</f>
      </c>
      <c r="N175" s="11">
        <f>IF((E175+F175)=0,"",ROUND(L175/((E175+F175)/60),2))</f>
      </c>
    </row>
    <row r="176">
      <c r="I176" s="11">
        <f>IF(E176="","",ROUND(((E176+F176)/60)*'Cost Rates'!$B$3,2))</f>
      </c>
      <c r="J176" s="11">
        <f>IF(D176="","",'Cost Rates'!$B$4)</f>
      </c>
      <c r="K176" s="11">
        <f>IF(D176="","",SUM(G176,H176,I176,J176))</f>
      </c>
      <c r="L176" s="11">
        <f>IF(D176="","",D176-K176)</f>
      </c>
      <c r="M176" s="12">
        <f>IF(OR(D176="",D176=0),"",L176/D176)</f>
      </c>
      <c r="N176" s="11">
        <f>IF((E176+F176)=0,"",ROUND(L176/((E176+F176)/60),2))</f>
      </c>
    </row>
    <row r="177">
      <c r="I177" s="11">
        <f>IF(E177="","",ROUND(((E177+F177)/60)*'Cost Rates'!$B$3,2))</f>
      </c>
      <c r="J177" s="11">
        <f>IF(D177="","",'Cost Rates'!$B$4)</f>
      </c>
      <c r="K177" s="11">
        <f>IF(D177="","",SUM(G177,H177,I177,J177))</f>
      </c>
      <c r="L177" s="11">
        <f>IF(D177="","",D177-K177)</f>
      </c>
      <c r="M177" s="12">
        <f>IF(OR(D177="",D177=0),"",L177/D177)</f>
      </c>
      <c r="N177" s="11">
        <f>IF((E177+F177)=0,"",ROUND(L177/((E177+F177)/60),2))</f>
      </c>
    </row>
    <row r="178">
      <c r="I178" s="11">
        <f>IF(E178="","",ROUND(((E178+F178)/60)*'Cost Rates'!$B$3,2))</f>
      </c>
      <c r="J178" s="11">
        <f>IF(D178="","",'Cost Rates'!$B$4)</f>
      </c>
      <c r="K178" s="11">
        <f>IF(D178="","",SUM(G178,H178,I178,J178))</f>
      </c>
      <c r="L178" s="11">
        <f>IF(D178="","",D178-K178)</f>
      </c>
      <c r="M178" s="12">
        <f>IF(OR(D178="",D178=0),"",L178/D178)</f>
      </c>
      <c r="N178" s="11">
        <f>IF((E178+F178)=0,"",ROUND(L178/((E178+F178)/60),2))</f>
      </c>
    </row>
    <row r="179">
      <c r="I179" s="11">
        <f>IF(E179="","",ROUND(((E179+F179)/60)*'Cost Rates'!$B$3,2))</f>
      </c>
      <c r="J179" s="11">
        <f>IF(D179="","",'Cost Rates'!$B$4)</f>
      </c>
      <c r="K179" s="11">
        <f>IF(D179="","",SUM(G179,H179,I179,J179))</f>
      </c>
      <c r="L179" s="11">
        <f>IF(D179="","",D179-K179)</f>
      </c>
      <c r="M179" s="12">
        <f>IF(OR(D179="",D179=0),"",L179/D179)</f>
      </c>
      <c r="N179" s="11">
        <f>IF((E179+F179)=0,"",ROUND(L179/((E179+F179)/60),2))</f>
      </c>
    </row>
    <row r="180">
      <c r="I180" s="11">
        <f>IF(E180="","",ROUND(((E180+F180)/60)*'Cost Rates'!$B$3,2))</f>
      </c>
      <c r="J180" s="11">
        <f>IF(D180="","",'Cost Rates'!$B$4)</f>
      </c>
      <c r="K180" s="11">
        <f>IF(D180="","",SUM(G180,H180,I180,J180))</f>
      </c>
      <c r="L180" s="11">
        <f>IF(D180="","",D180-K180)</f>
      </c>
      <c r="M180" s="12">
        <f>IF(OR(D180="",D180=0),"",L180/D180)</f>
      </c>
      <c r="N180" s="11">
        <f>IF((E180+F180)=0,"",ROUND(L180/((E180+F180)/60),2))</f>
      </c>
    </row>
    <row r="181">
      <c r="I181" s="11">
        <f>IF(E181="","",ROUND(((E181+F181)/60)*'Cost Rates'!$B$3,2))</f>
      </c>
      <c r="J181" s="11">
        <f>IF(D181="","",'Cost Rates'!$B$4)</f>
      </c>
      <c r="K181" s="11">
        <f>IF(D181="","",SUM(G181,H181,I181,J181))</f>
      </c>
      <c r="L181" s="11">
        <f>IF(D181="","",D181-K181)</f>
      </c>
      <c r="M181" s="12">
        <f>IF(OR(D181="",D181=0),"",L181/D181)</f>
      </c>
      <c r="N181" s="11">
        <f>IF((E181+F181)=0,"",ROUND(L181/((E181+F181)/60),2))</f>
      </c>
    </row>
    <row r="182">
      <c r="I182" s="11">
        <f>IF(E182="","",ROUND(((E182+F182)/60)*'Cost Rates'!$B$3,2))</f>
      </c>
      <c r="J182" s="11">
        <f>IF(D182="","",'Cost Rates'!$B$4)</f>
      </c>
      <c r="K182" s="11">
        <f>IF(D182="","",SUM(G182,H182,I182,J182))</f>
      </c>
      <c r="L182" s="11">
        <f>IF(D182="","",D182-K182)</f>
      </c>
      <c r="M182" s="12">
        <f>IF(OR(D182="",D182=0),"",L182/D182)</f>
      </c>
      <c r="N182" s="11">
        <f>IF((E182+F182)=0,"",ROUND(L182/((E182+F182)/60),2))</f>
      </c>
    </row>
    <row r="183">
      <c r="I183" s="11">
        <f>IF(E183="","",ROUND(((E183+F183)/60)*'Cost Rates'!$B$3,2))</f>
      </c>
      <c r="J183" s="11">
        <f>IF(D183="","",'Cost Rates'!$B$4)</f>
      </c>
      <c r="K183" s="11">
        <f>IF(D183="","",SUM(G183,H183,I183,J183))</f>
      </c>
      <c r="L183" s="11">
        <f>IF(D183="","",D183-K183)</f>
      </c>
      <c r="M183" s="12">
        <f>IF(OR(D183="",D183=0),"",L183/D183)</f>
      </c>
      <c r="N183" s="11">
        <f>IF((E183+F183)=0,"",ROUND(L183/((E183+F183)/60),2))</f>
      </c>
    </row>
    <row r="184">
      <c r="I184" s="11">
        <f>IF(E184="","",ROUND(((E184+F184)/60)*'Cost Rates'!$B$3,2))</f>
      </c>
      <c r="J184" s="11">
        <f>IF(D184="","",'Cost Rates'!$B$4)</f>
      </c>
      <c r="K184" s="11">
        <f>IF(D184="","",SUM(G184,H184,I184,J184))</f>
      </c>
      <c r="L184" s="11">
        <f>IF(D184="","",D184-K184)</f>
      </c>
      <c r="M184" s="12">
        <f>IF(OR(D184="",D184=0),"",L184/D184)</f>
      </c>
      <c r="N184" s="11">
        <f>IF((E184+F184)=0,"",ROUND(L184/((E184+F184)/60),2))</f>
      </c>
    </row>
    <row r="185">
      <c r="I185" s="11">
        <f>IF(E185="","",ROUND(((E185+F185)/60)*'Cost Rates'!$B$3,2))</f>
      </c>
      <c r="J185" s="11">
        <f>IF(D185="","",'Cost Rates'!$B$4)</f>
      </c>
      <c r="K185" s="11">
        <f>IF(D185="","",SUM(G185,H185,I185,J185))</f>
      </c>
      <c r="L185" s="11">
        <f>IF(D185="","",D185-K185)</f>
      </c>
      <c r="M185" s="12">
        <f>IF(OR(D185="",D185=0),"",L185/D185)</f>
      </c>
      <c r="N185" s="11">
        <f>IF((E185+F185)=0,"",ROUND(L185/((E185+F185)/60),2))</f>
      </c>
    </row>
    <row r="186">
      <c r="I186" s="11">
        <f>IF(E186="","",ROUND(((E186+F186)/60)*'Cost Rates'!$B$3,2))</f>
      </c>
      <c r="J186" s="11">
        <f>IF(D186="","",'Cost Rates'!$B$4)</f>
      </c>
      <c r="K186" s="11">
        <f>IF(D186="","",SUM(G186,H186,I186,J186))</f>
      </c>
      <c r="L186" s="11">
        <f>IF(D186="","",D186-K186)</f>
      </c>
      <c r="M186" s="12">
        <f>IF(OR(D186="",D186=0),"",L186/D186)</f>
      </c>
      <c r="N186" s="11">
        <f>IF((E186+F186)=0,"",ROUND(L186/((E186+F186)/60),2))</f>
      </c>
    </row>
    <row r="187">
      <c r="I187" s="11">
        <f>IF(E187="","",ROUND(((E187+F187)/60)*'Cost Rates'!$B$3,2))</f>
      </c>
      <c r="J187" s="11">
        <f>IF(D187="","",'Cost Rates'!$B$4)</f>
      </c>
      <c r="K187" s="11">
        <f>IF(D187="","",SUM(G187,H187,I187,J187))</f>
      </c>
      <c r="L187" s="11">
        <f>IF(D187="","",D187-K187)</f>
      </c>
      <c r="M187" s="12">
        <f>IF(OR(D187="",D187=0),"",L187/D187)</f>
      </c>
      <c r="N187" s="11">
        <f>IF((E187+F187)=0,"",ROUND(L187/((E187+F187)/60),2))</f>
      </c>
    </row>
    <row r="188">
      <c r="I188" s="11">
        <f>IF(E188="","",ROUND(((E188+F188)/60)*'Cost Rates'!$B$3,2))</f>
      </c>
      <c r="J188" s="11">
        <f>IF(D188="","",'Cost Rates'!$B$4)</f>
      </c>
      <c r="K188" s="11">
        <f>IF(D188="","",SUM(G188,H188,I188,J188))</f>
      </c>
      <c r="L188" s="11">
        <f>IF(D188="","",D188-K188)</f>
      </c>
      <c r="M188" s="12">
        <f>IF(OR(D188="",D188=0),"",L188/D188)</f>
      </c>
      <c r="N188" s="11">
        <f>IF((E188+F188)=0,"",ROUND(L188/((E188+F188)/60),2))</f>
      </c>
    </row>
    <row r="189">
      <c r="I189" s="11">
        <f>IF(E189="","",ROUND(((E189+F189)/60)*'Cost Rates'!$B$3,2))</f>
      </c>
      <c r="J189" s="11">
        <f>IF(D189="","",'Cost Rates'!$B$4)</f>
      </c>
      <c r="K189" s="11">
        <f>IF(D189="","",SUM(G189,H189,I189,J189))</f>
      </c>
      <c r="L189" s="11">
        <f>IF(D189="","",D189-K189)</f>
      </c>
      <c r="M189" s="12">
        <f>IF(OR(D189="",D189=0),"",L189/D189)</f>
      </c>
      <c r="N189" s="11">
        <f>IF((E189+F189)=0,"",ROUND(L189/((E189+F189)/60),2))</f>
      </c>
    </row>
    <row r="190">
      <c r="I190" s="11">
        <f>IF(E190="","",ROUND(((E190+F190)/60)*'Cost Rates'!$B$3,2))</f>
      </c>
      <c r="J190" s="11">
        <f>IF(D190="","",'Cost Rates'!$B$4)</f>
      </c>
      <c r="K190" s="11">
        <f>IF(D190="","",SUM(G190,H190,I190,J190))</f>
      </c>
      <c r="L190" s="11">
        <f>IF(D190="","",D190-K190)</f>
      </c>
      <c r="M190" s="12">
        <f>IF(OR(D190="",D190=0),"",L190/D190)</f>
      </c>
      <c r="N190" s="11">
        <f>IF((E190+F190)=0,"",ROUND(L190/((E190+F190)/60),2))</f>
      </c>
    </row>
    <row r="191">
      <c r="I191" s="11">
        <f>IF(E191="","",ROUND(((E191+F191)/60)*'Cost Rates'!$B$3,2))</f>
      </c>
      <c r="J191" s="11">
        <f>IF(D191="","",'Cost Rates'!$B$4)</f>
      </c>
      <c r="K191" s="11">
        <f>IF(D191="","",SUM(G191,H191,I191,J191))</f>
      </c>
      <c r="L191" s="11">
        <f>IF(D191="","",D191-K191)</f>
      </c>
      <c r="M191" s="12">
        <f>IF(OR(D191="",D191=0),"",L191/D191)</f>
      </c>
      <c r="N191" s="11">
        <f>IF((E191+F191)=0,"",ROUND(L191/((E191+F191)/60),2))</f>
      </c>
    </row>
    <row r="192">
      <c r="I192" s="11">
        <f>IF(E192="","",ROUND(((E192+F192)/60)*'Cost Rates'!$B$3,2))</f>
      </c>
      <c r="J192" s="11">
        <f>IF(D192="","",'Cost Rates'!$B$4)</f>
      </c>
      <c r="K192" s="11">
        <f>IF(D192="","",SUM(G192,H192,I192,J192))</f>
      </c>
      <c r="L192" s="11">
        <f>IF(D192="","",D192-K192)</f>
      </c>
      <c r="M192" s="12">
        <f>IF(OR(D192="",D192=0),"",L192/D192)</f>
      </c>
      <c r="N192" s="11">
        <f>IF((E192+F192)=0,"",ROUND(L192/((E192+F192)/60),2))</f>
      </c>
    </row>
    <row r="193">
      <c r="I193" s="11">
        <f>IF(E193="","",ROUND(((E193+F193)/60)*'Cost Rates'!$B$3,2))</f>
      </c>
      <c r="J193" s="11">
        <f>IF(D193="","",'Cost Rates'!$B$4)</f>
      </c>
      <c r="K193" s="11">
        <f>IF(D193="","",SUM(G193,H193,I193,J193))</f>
      </c>
      <c r="L193" s="11">
        <f>IF(D193="","",D193-K193)</f>
      </c>
      <c r="M193" s="12">
        <f>IF(OR(D193="",D193=0),"",L193/D193)</f>
      </c>
      <c r="N193" s="11">
        <f>IF((E193+F193)=0,"",ROUND(L193/((E193+F193)/60),2))</f>
      </c>
    </row>
    <row r="194">
      <c r="I194" s="11">
        <f>IF(E194="","",ROUND(((E194+F194)/60)*'Cost Rates'!$B$3,2))</f>
      </c>
      <c r="J194" s="11">
        <f>IF(D194="","",'Cost Rates'!$B$4)</f>
      </c>
      <c r="K194" s="11">
        <f>IF(D194="","",SUM(G194,H194,I194,J194))</f>
      </c>
      <c r="L194" s="11">
        <f>IF(D194="","",D194-K194)</f>
      </c>
      <c r="M194" s="12">
        <f>IF(OR(D194="",D194=0),"",L194/D194)</f>
      </c>
      <c r="N194" s="11">
        <f>IF((E194+F194)=0,"",ROUND(L194/((E194+F194)/60),2))</f>
      </c>
    </row>
    <row r="195">
      <c r="I195" s="11">
        <f>IF(E195="","",ROUND(((E195+F195)/60)*'Cost Rates'!$B$3,2))</f>
      </c>
      <c r="J195" s="11">
        <f>IF(D195="","",'Cost Rates'!$B$4)</f>
      </c>
      <c r="K195" s="11">
        <f>IF(D195="","",SUM(G195,H195,I195,J195))</f>
      </c>
      <c r="L195" s="11">
        <f>IF(D195="","",D195-K195)</f>
      </c>
      <c r="M195" s="12">
        <f>IF(OR(D195="",D195=0),"",L195/D195)</f>
      </c>
      <c r="N195" s="11">
        <f>IF((E195+F195)=0,"",ROUND(L195/((E195+F195)/60),2))</f>
      </c>
    </row>
    <row r="196">
      <c r="I196" s="11">
        <f>IF(E196="","",ROUND(((E196+F196)/60)*'Cost Rates'!$B$3,2))</f>
      </c>
      <c r="J196" s="11">
        <f>IF(D196="","",'Cost Rates'!$B$4)</f>
      </c>
      <c r="K196" s="11">
        <f>IF(D196="","",SUM(G196,H196,I196,J196))</f>
      </c>
      <c r="L196" s="11">
        <f>IF(D196="","",D196-K196)</f>
      </c>
      <c r="M196" s="12">
        <f>IF(OR(D196="",D196=0),"",L196/D196)</f>
      </c>
      <c r="N196" s="11">
        <f>IF((E196+F196)=0,"",ROUND(L196/((E196+F196)/60),2))</f>
      </c>
    </row>
    <row r="197">
      <c r="I197" s="11">
        <f>IF(E197="","",ROUND(((E197+F197)/60)*'Cost Rates'!$B$3,2))</f>
      </c>
      <c r="J197" s="11">
        <f>IF(D197="","",'Cost Rates'!$B$4)</f>
      </c>
      <c r="K197" s="11">
        <f>IF(D197="","",SUM(G197,H197,I197,J197))</f>
      </c>
      <c r="L197" s="11">
        <f>IF(D197="","",D197-K197)</f>
      </c>
      <c r="M197" s="12">
        <f>IF(OR(D197="",D197=0),"",L197/D197)</f>
      </c>
      <c r="N197" s="11">
        <f>IF((E197+F197)=0,"",ROUND(L197/((E197+F197)/60),2))</f>
      </c>
    </row>
    <row r="198">
      <c r="I198" s="11">
        <f>IF(E198="","",ROUND(((E198+F198)/60)*'Cost Rates'!$B$3,2))</f>
      </c>
      <c r="J198" s="11">
        <f>IF(D198="","",'Cost Rates'!$B$4)</f>
      </c>
      <c r="K198" s="11">
        <f>IF(D198="","",SUM(G198,H198,I198,J198))</f>
      </c>
      <c r="L198" s="11">
        <f>IF(D198="","",D198-K198)</f>
      </c>
      <c r="M198" s="12">
        <f>IF(OR(D198="",D198=0),"",L198/D198)</f>
      </c>
      <c r="N198" s="11">
        <f>IF((E198+F198)=0,"",ROUND(L198/((E198+F198)/60),2))</f>
      </c>
    </row>
    <row r="199">
      <c r="I199" s="11">
        <f>IF(E199="","",ROUND(((E199+F199)/60)*'Cost Rates'!$B$3,2))</f>
      </c>
      <c r="J199" s="11">
        <f>IF(D199="","",'Cost Rates'!$B$4)</f>
      </c>
      <c r="K199" s="11">
        <f>IF(D199="","",SUM(G199,H199,I199,J199))</f>
      </c>
      <c r="L199" s="11">
        <f>IF(D199="","",D199-K199)</f>
      </c>
      <c r="M199" s="12">
        <f>IF(OR(D199="",D199=0),"",L199/D199)</f>
      </c>
      <c r="N199" s="11">
        <f>IF((E199+F199)=0,"",ROUND(L199/((E199+F199)/60),2))</f>
      </c>
    </row>
    <row r="200">
      <c r="I200" s="11">
        <f>IF(E200="","",ROUND(((E200+F200)/60)*'Cost Rates'!$B$3,2))</f>
      </c>
      <c r="J200" s="11">
        <f>IF(D200="","",'Cost Rates'!$B$4)</f>
      </c>
      <c r="K200" s="11">
        <f>IF(D200="","",SUM(G200,H200,I200,J200))</f>
      </c>
      <c r="L200" s="11">
        <f>IF(D200="","",D200-K200)</f>
      </c>
      <c r="M200" s="12">
        <f>IF(OR(D200="",D200=0),"",L200/D200)</f>
      </c>
      <c r="N200" s="11">
        <f>IF((E200+F200)=0,"",ROUND(L200/((E200+F200)/60),2))</f>
      </c>
    </row>
    <row r="201">
      <c r="I201" s="11">
        <f>IF(E201="","",ROUND(((E201+F201)/60)*'Cost Rates'!$B$3,2))</f>
      </c>
      <c r="J201" s="11">
        <f>IF(D201="","",'Cost Rates'!$B$4)</f>
      </c>
      <c r="K201" s="11">
        <f>IF(D201="","",SUM(G201,H201,I201,J201))</f>
      </c>
      <c r="L201" s="11">
        <f>IF(D201="","",D201-K201)</f>
      </c>
      <c r="M201" s="12">
        <f>IF(OR(D201="",D201=0),"",L201/D201)</f>
      </c>
      <c r="N201" s="11">
        <f>IF((E201+F201)=0,"",ROUND(L201/((E201+F201)/60),2))</f>
      </c>
    </row>
    <row r="202">
      <c r="I202" s="11">
        <f>IF(E202="","",ROUND(((E202+F202)/60)*'Cost Rates'!$B$3,2))</f>
      </c>
      <c r="J202" s="11">
        <f>IF(D202="","",'Cost Rates'!$B$4)</f>
      </c>
      <c r="K202" s="11">
        <f>IF(D202="","",SUM(G202,H202,I202,J202))</f>
      </c>
      <c r="L202" s="11">
        <f>IF(D202="","",D202-K202)</f>
      </c>
      <c r="M202" s="12">
        <f>IF(OR(D202="",D202=0),"",L202/D202)</f>
      </c>
      <c r="N202" s="11">
        <f>IF((E202+F202)=0,"",ROUND(L202/((E202+F202)/60),2))</f>
      </c>
    </row>
    <row r="203">
      <c r="I203" s="11">
        <f>IF(E203="","",ROUND(((E203+F203)/60)*'Cost Rates'!$B$3,2))</f>
      </c>
      <c r="J203" s="11">
        <f>IF(D203="","",'Cost Rates'!$B$4)</f>
      </c>
      <c r="K203" s="11">
        <f>IF(D203="","",SUM(G203,H203,I203,J203))</f>
      </c>
      <c r="L203" s="11">
        <f>IF(D203="","",D203-K203)</f>
      </c>
      <c r="M203" s="12">
        <f>IF(OR(D203="",D203=0),"",L203/D203)</f>
      </c>
      <c r="N203" s="11">
        <f>IF((E203+F203)=0,"",ROUND(L203/((E203+F203)/60),2))</f>
      </c>
    </row>
    <row r="204">
      <c r="I204" s="11">
        <f>IF(E204="","",ROUND(((E204+F204)/60)*'Cost Rates'!$B$3,2))</f>
      </c>
      <c r="J204" s="11">
        <f>IF(D204="","",'Cost Rates'!$B$4)</f>
      </c>
      <c r="K204" s="11">
        <f>IF(D204="","",SUM(G204,H204,I204,J204))</f>
      </c>
      <c r="L204" s="11">
        <f>IF(D204="","",D204-K204)</f>
      </c>
      <c r="M204" s="12">
        <f>IF(OR(D204="",D204=0),"",L204/D204)</f>
      </c>
      <c r="N204" s="11">
        <f>IF((E204+F204)=0,"",ROUND(L204/((E204+F204)/60),2))</f>
      </c>
    </row>
    <row r="205">
      <c r="I205" s="11">
        <f>IF(E205="","",ROUND(((E205+F205)/60)*'Cost Rates'!$B$3,2))</f>
      </c>
      <c r="J205" s="11">
        <f>IF(D205="","",'Cost Rates'!$B$4)</f>
      </c>
      <c r="K205" s="11">
        <f>IF(D205="","",SUM(G205,H205,I205,J205))</f>
      </c>
      <c r="L205" s="11">
        <f>IF(D205="","",D205-K205)</f>
      </c>
      <c r="M205" s="12">
        <f>IF(OR(D205="",D205=0),"",L205/D205)</f>
      </c>
      <c r="N205" s="11">
        <f>IF((E205+F205)=0,"",ROUND(L205/((E205+F205)/60),2))</f>
      </c>
    </row>
    <row r="206">
      <c r="I206" s="11">
        <f>IF(E206="","",ROUND(((E206+F206)/60)*'Cost Rates'!$B$3,2))</f>
      </c>
      <c r="J206" s="11">
        <f>IF(D206="","",'Cost Rates'!$B$4)</f>
      </c>
      <c r="K206" s="11">
        <f>IF(D206="","",SUM(G206,H206,I206,J206))</f>
      </c>
      <c r="L206" s="11">
        <f>IF(D206="","",D206-K206)</f>
      </c>
      <c r="M206" s="12">
        <f>IF(OR(D206="",D206=0),"",L206/D206)</f>
      </c>
      <c r="N206" s="11">
        <f>IF((E206+F206)=0,"",ROUND(L206/((E206+F206)/60),2))</f>
      </c>
    </row>
    <row r="207">
      <c r="I207" s="11">
        <f>IF(E207="","",ROUND(((E207+F207)/60)*'Cost Rates'!$B$3,2))</f>
      </c>
      <c r="J207" s="11">
        <f>IF(D207="","",'Cost Rates'!$B$4)</f>
      </c>
      <c r="K207" s="11">
        <f>IF(D207="","",SUM(G207,H207,I207,J207))</f>
      </c>
      <c r="L207" s="11">
        <f>IF(D207="","",D207-K207)</f>
      </c>
      <c r="M207" s="12">
        <f>IF(OR(D207="",D207=0),"",L207/D207)</f>
      </c>
      <c r="N207" s="11">
        <f>IF((E207+F207)=0,"",ROUND(L207/((E207+F207)/60),2))</f>
      </c>
    </row>
    <row r="208">
      <c r="I208" s="11">
        <f>IF(E208="","",ROUND(((E208+F208)/60)*'Cost Rates'!$B$3,2))</f>
      </c>
      <c r="J208" s="11">
        <f>IF(D208="","",'Cost Rates'!$B$4)</f>
      </c>
      <c r="K208" s="11">
        <f>IF(D208="","",SUM(G208,H208,I208,J208))</f>
      </c>
      <c r="L208" s="11">
        <f>IF(D208="","",D208-K208)</f>
      </c>
      <c r="M208" s="12">
        <f>IF(OR(D208="",D208=0),"",L208/D208)</f>
      </c>
      <c r="N208" s="11">
        <f>IF((E208+F208)=0,"",ROUND(L208/((E208+F208)/60),2))</f>
      </c>
    </row>
    <row r="209">
      <c r="I209" s="11">
        <f>IF(E209="","",ROUND(((E209+F209)/60)*'Cost Rates'!$B$3,2))</f>
      </c>
      <c r="J209" s="11">
        <f>IF(D209="","",'Cost Rates'!$B$4)</f>
      </c>
      <c r="K209" s="11">
        <f>IF(D209="","",SUM(G209,H209,I209,J209))</f>
      </c>
      <c r="L209" s="11">
        <f>IF(D209="","",D209-K209)</f>
      </c>
      <c r="M209" s="12">
        <f>IF(OR(D209="",D209=0),"",L209/D209)</f>
      </c>
      <c r="N209" s="11">
        <f>IF((E209+F209)=0,"",ROUND(L209/((E209+F209)/60),2))</f>
      </c>
    </row>
    <row r="210">
      <c r="I210" s="11">
        <f>IF(E210="","",ROUND(((E210+F210)/60)*'Cost Rates'!$B$3,2))</f>
      </c>
      <c r="J210" s="11">
        <f>IF(D210="","",'Cost Rates'!$B$4)</f>
      </c>
      <c r="K210" s="11">
        <f>IF(D210="","",SUM(G210,H210,I210,J210))</f>
      </c>
      <c r="L210" s="11">
        <f>IF(D210="","",D210-K210)</f>
      </c>
      <c r="M210" s="12">
        <f>IF(OR(D210="",D210=0),"",L210/D210)</f>
      </c>
      <c r="N210" s="11">
        <f>IF((E210+F210)=0,"",ROUND(L210/((E210+F210)/60),2))</f>
      </c>
    </row>
    <row r="211">
      <c r="I211" s="11">
        <f>IF(E211="","",ROUND(((E211+F211)/60)*'Cost Rates'!$B$3,2))</f>
      </c>
      <c r="J211" s="11">
        <f>IF(D211="","",'Cost Rates'!$B$4)</f>
      </c>
      <c r="K211" s="11">
        <f>IF(D211="","",SUM(G211,H211,I211,J211))</f>
      </c>
      <c r="L211" s="11">
        <f>IF(D211="","",D211-K211)</f>
      </c>
      <c r="M211" s="12">
        <f>IF(OR(D211="",D211=0),"",L211/D211)</f>
      </c>
      <c r="N211" s="11">
        <f>IF((E211+F211)=0,"",ROUND(L211/((E211+F211)/60),2))</f>
      </c>
    </row>
    <row r="212">
      <c r="I212" s="11">
        <f>IF(E212="","",ROUND(((E212+F212)/60)*'Cost Rates'!$B$3,2))</f>
      </c>
      <c r="J212" s="11">
        <f>IF(D212="","",'Cost Rates'!$B$4)</f>
      </c>
      <c r="K212" s="11">
        <f>IF(D212="","",SUM(G212,H212,I212,J212))</f>
      </c>
      <c r="L212" s="11">
        <f>IF(D212="","",D212-K212)</f>
      </c>
      <c r="M212" s="12">
        <f>IF(OR(D212="",D212=0),"",L212/D212)</f>
      </c>
      <c r="N212" s="11">
        <f>IF((E212+F212)=0,"",ROUND(L212/((E212+F212)/60),2))</f>
      </c>
    </row>
    <row r="213">
      <c r="I213" s="11">
        <f>IF(E213="","",ROUND(((E213+F213)/60)*'Cost Rates'!$B$3,2))</f>
      </c>
      <c r="J213" s="11">
        <f>IF(D213="","",'Cost Rates'!$B$4)</f>
      </c>
      <c r="K213" s="11">
        <f>IF(D213="","",SUM(G213,H213,I213,J213))</f>
      </c>
      <c r="L213" s="11">
        <f>IF(D213="","",D213-K213)</f>
      </c>
      <c r="M213" s="12">
        <f>IF(OR(D213="",D213=0),"",L213/D213)</f>
      </c>
      <c r="N213" s="11">
        <f>IF((E213+F213)=0,"",ROUND(L213/((E213+F213)/60),2))</f>
      </c>
    </row>
    <row r="214">
      <c r="I214" s="11">
        <f>IF(E214="","",ROUND(((E214+F214)/60)*'Cost Rates'!$B$3,2))</f>
      </c>
      <c r="J214" s="11">
        <f>IF(D214="","",'Cost Rates'!$B$4)</f>
      </c>
      <c r="K214" s="11">
        <f>IF(D214="","",SUM(G214,H214,I214,J214))</f>
      </c>
      <c r="L214" s="11">
        <f>IF(D214="","",D214-K214)</f>
      </c>
      <c r="M214" s="12">
        <f>IF(OR(D214="",D214=0),"",L214/D214)</f>
      </c>
      <c r="N214" s="11">
        <f>IF((E214+F214)=0,"",ROUND(L214/((E214+F214)/60),2))</f>
      </c>
    </row>
    <row r="215">
      <c r="I215" s="11">
        <f>IF(E215="","",ROUND(((E215+F215)/60)*'Cost Rates'!$B$3,2))</f>
      </c>
      <c r="J215" s="11">
        <f>IF(D215="","",'Cost Rates'!$B$4)</f>
      </c>
      <c r="K215" s="11">
        <f>IF(D215="","",SUM(G215,H215,I215,J215))</f>
      </c>
      <c r="L215" s="11">
        <f>IF(D215="","",D215-K215)</f>
      </c>
      <c r="M215" s="12">
        <f>IF(OR(D215="",D215=0),"",L215/D215)</f>
      </c>
      <c r="N215" s="11">
        <f>IF((E215+F215)=0,"",ROUND(L215/((E215+F215)/60),2))</f>
      </c>
    </row>
    <row r="216">
      <c r="I216" s="11">
        <f>IF(E216="","",ROUND(((E216+F216)/60)*'Cost Rates'!$B$3,2))</f>
      </c>
      <c r="J216" s="11">
        <f>IF(D216="","",'Cost Rates'!$B$4)</f>
      </c>
      <c r="K216" s="11">
        <f>IF(D216="","",SUM(G216,H216,I216,J216))</f>
      </c>
      <c r="L216" s="11">
        <f>IF(D216="","",D216-K216)</f>
      </c>
      <c r="M216" s="12">
        <f>IF(OR(D216="",D216=0),"",L216/D216)</f>
      </c>
      <c r="N216" s="11">
        <f>IF((E216+F216)=0,"",ROUND(L216/((E216+F216)/60),2))</f>
      </c>
    </row>
    <row r="217">
      <c r="I217" s="11">
        <f>IF(E217="","",ROUND(((E217+F217)/60)*'Cost Rates'!$B$3,2))</f>
      </c>
      <c r="J217" s="11">
        <f>IF(D217="","",'Cost Rates'!$B$4)</f>
      </c>
      <c r="K217" s="11">
        <f>IF(D217="","",SUM(G217,H217,I217,J217))</f>
      </c>
      <c r="L217" s="11">
        <f>IF(D217="","",D217-K217)</f>
      </c>
      <c r="M217" s="12">
        <f>IF(OR(D217="",D217=0),"",L217/D217)</f>
      </c>
      <c r="N217" s="11">
        <f>IF((E217+F217)=0,"",ROUND(L217/((E217+F217)/60),2))</f>
      </c>
    </row>
    <row r="218">
      <c r="I218" s="11">
        <f>IF(E218="","",ROUND(((E218+F218)/60)*'Cost Rates'!$B$3,2))</f>
      </c>
      <c r="J218" s="11">
        <f>IF(D218="","",'Cost Rates'!$B$4)</f>
      </c>
      <c r="K218" s="11">
        <f>IF(D218="","",SUM(G218,H218,I218,J218))</f>
      </c>
      <c r="L218" s="11">
        <f>IF(D218="","",D218-K218)</f>
      </c>
      <c r="M218" s="12">
        <f>IF(OR(D218="",D218=0),"",L218/D218)</f>
      </c>
      <c r="N218" s="11">
        <f>IF((E218+F218)=0,"",ROUND(L218/((E218+F218)/60),2))</f>
      </c>
    </row>
    <row r="219">
      <c r="I219" s="11">
        <f>IF(E219="","",ROUND(((E219+F219)/60)*'Cost Rates'!$B$3,2))</f>
      </c>
      <c r="J219" s="11">
        <f>IF(D219="","",'Cost Rates'!$B$4)</f>
      </c>
      <c r="K219" s="11">
        <f>IF(D219="","",SUM(G219,H219,I219,J219))</f>
      </c>
      <c r="L219" s="11">
        <f>IF(D219="","",D219-K219)</f>
      </c>
      <c r="M219" s="12">
        <f>IF(OR(D219="",D219=0),"",L219/D219)</f>
      </c>
      <c r="N219" s="11">
        <f>IF((E219+F219)=0,"",ROUND(L219/((E219+F219)/60),2))</f>
      </c>
    </row>
    <row r="220">
      <c r="I220" s="11">
        <f>IF(E220="","",ROUND(((E220+F220)/60)*'Cost Rates'!$B$3,2))</f>
      </c>
      <c r="J220" s="11">
        <f>IF(D220="","",'Cost Rates'!$B$4)</f>
      </c>
      <c r="K220" s="11">
        <f>IF(D220="","",SUM(G220,H220,I220,J220))</f>
      </c>
      <c r="L220" s="11">
        <f>IF(D220="","",D220-K220)</f>
      </c>
      <c r="M220" s="12">
        <f>IF(OR(D220="",D220=0),"",L220/D220)</f>
      </c>
      <c r="N220" s="11">
        <f>IF((E220+F220)=0,"",ROUND(L220/((E220+F220)/60),2))</f>
      </c>
    </row>
    <row r="221">
      <c r="I221" s="11">
        <f>IF(E221="","",ROUND(((E221+F221)/60)*'Cost Rates'!$B$3,2))</f>
      </c>
      <c r="J221" s="11">
        <f>IF(D221="","",'Cost Rates'!$B$4)</f>
      </c>
      <c r="K221" s="11">
        <f>IF(D221="","",SUM(G221,H221,I221,J221))</f>
      </c>
      <c r="L221" s="11">
        <f>IF(D221="","",D221-K221)</f>
      </c>
      <c r="M221" s="12">
        <f>IF(OR(D221="",D221=0),"",L221/D221)</f>
      </c>
      <c r="N221" s="11">
        <f>IF((E221+F221)=0,"",ROUND(L221/((E221+F221)/60),2))</f>
      </c>
    </row>
    <row r="222">
      <c r="I222" s="11">
        <f>IF(E222="","",ROUND(((E222+F222)/60)*'Cost Rates'!$B$3,2))</f>
      </c>
      <c r="J222" s="11">
        <f>IF(D222="","",'Cost Rates'!$B$4)</f>
      </c>
      <c r="K222" s="11">
        <f>IF(D222="","",SUM(G222,H222,I222,J222))</f>
      </c>
      <c r="L222" s="11">
        <f>IF(D222="","",D222-K222)</f>
      </c>
      <c r="M222" s="12">
        <f>IF(OR(D222="",D222=0),"",L222/D222)</f>
      </c>
      <c r="N222" s="11">
        <f>IF((E222+F222)=0,"",ROUND(L222/((E222+F222)/60),2))</f>
      </c>
    </row>
    <row r="223">
      <c r="I223" s="11">
        <f>IF(E223="","",ROUND(((E223+F223)/60)*'Cost Rates'!$B$3,2))</f>
      </c>
      <c r="J223" s="11">
        <f>IF(D223="","",'Cost Rates'!$B$4)</f>
      </c>
      <c r="K223" s="11">
        <f>IF(D223="","",SUM(G223,H223,I223,J223))</f>
      </c>
      <c r="L223" s="11">
        <f>IF(D223="","",D223-K223)</f>
      </c>
      <c r="M223" s="12">
        <f>IF(OR(D223="",D223=0),"",L223/D223)</f>
      </c>
      <c r="N223" s="11">
        <f>IF((E223+F223)=0,"",ROUND(L223/((E223+F223)/60),2))</f>
      </c>
    </row>
    <row r="224">
      <c r="I224" s="11">
        <f>IF(E224="","",ROUND(((E224+F224)/60)*'Cost Rates'!$B$3,2))</f>
      </c>
      <c r="J224" s="11">
        <f>IF(D224="","",'Cost Rates'!$B$4)</f>
      </c>
      <c r="K224" s="11">
        <f>IF(D224="","",SUM(G224,H224,I224,J224))</f>
      </c>
      <c r="L224" s="11">
        <f>IF(D224="","",D224-K224)</f>
      </c>
      <c r="M224" s="12">
        <f>IF(OR(D224="",D224=0),"",L224/D224)</f>
      </c>
      <c r="N224" s="11">
        <f>IF((E224+F224)=0,"",ROUND(L224/((E224+F224)/60),2))</f>
      </c>
    </row>
    <row r="225">
      <c r="I225" s="11">
        <f>IF(E225="","",ROUND(((E225+F225)/60)*'Cost Rates'!$B$3,2))</f>
      </c>
      <c r="J225" s="11">
        <f>IF(D225="","",'Cost Rates'!$B$4)</f>
      </c>
      <c r="K225" s="11">
        <f>IF(D225="","",SUM(G225,H225,I225,J225))</f>
      </c>
      <c r="L225" s="11">
        <f>IF(D225="","",D225-K225)</f>
      </c>
      <c r="M225" s="12">
        <f>IF(OR(D225="",D225=0),"",L225/D225)</f>
      </c>
      <c r="N225" s="11">
        <f>IF((E225+F225)=0,"",ROUND(L225/((E225+F225)/60),2))</f>
      </c>
    </row>
    <row r="226">
      <c r="I226" s="11">
        <f>IF(E226="","",ROUND(((E226+F226)/60)*'Cost Rates'!$B$3,2))</f>
      </c>
      <c r="J226" s="11">
        <f>IF(D226="","",'Cost Rates'!$B$4)</f>
      </c>
      <c r="K226" s="11">
        <f>IF(D226="","",SUM(G226,H226,I226,J226))</f>
      </c>
      <c r="L226" s="11">
        <f>IF(D226="","",D226-K226)</f>
      </c>
      <c r="M226" s="12">
        <f>IF(OR(D226="",D226=0),"",L226/D226)</f>
      </c>
      <c r="N226" s="11">
        <f>IF((E226+F226)=0,"",ROUND(L226/((E226+F226)/60),2))</f>
      </c>
    </row>
    <row r="227">
      <c r="I227" s="11">
        <f>IF(E227="","",ROUND(((E227+F227)/60)*'Cost Rates'!$B$3,2))</f>
      </c>
      <c r="J227" s="11">
        <f>IF(D227="","",'Cost Rates'!$B$4)</f>
      </c>
      <c r="K227" s="11">
        <f>IF(D227="","",SUM(G227,H227,I227,J227))</f>
      </c>
      <c r="L227" s="11">
        <f>IF(D227="","",D227-K227)</f>
      </c>
      <c r="M227" s="12">
        <f>IF(OR(D227="",D227=0),"",L227/D227)</f>
      </c>
      <c r="N227" s="11">
        <f>IF((E227+F227)=0,"",ROUND(L227/((E227+F227)/60),2))</f>
      </c>
    </row>
    <row r="228">
      <c r="I228" s="11">
        <f>IF(E228="","",ROUND(((E228+F228)/60)*'Cost Rates'!$B$3,2))</f>
      </c>
      <c r="J228" s="11">
        <f>IF(D228="","",'Cost Rates'!$B$4)</f>
      </c>
      <c r="K228" s="11">
        <f>IF(D228="","",SUM(G228,H228,I228,J228))</f>
      </c>
      <c r="L228" s="11">
        <f>IF(D228="","",D228-K228)</f>
      </c>
      <c r="M228" s="12">
        <f>IF(OR(D228="",D228=0),"",L228/D228)</f>
      </c>
      <c r="N228" s="11">
        <f>IF((E228+F228)=0,"",ROUND(L228/((E228+F228)/60),2))</f>
      </c>
    </row>
    <row r="229">
      <c r="I229" s="11">
        <f>IF(E229="","",ROUND(((E229+F229)/60)*'Cost Rates'!$B$3,2))</f>
      </c>
      <c r="J229" s="11">
        <f>IF(D229="","",'Cost Rates'!$B$4)</f>
      </c>
      <c r="K229" s="11">
        <f>IF(D229="","",SUM(G229,H229,I229,J229))</f>
      </c>
      <c r="L229" s="11">
        <f>IF(D229="","",D229-K229)</f>
      </c>
      <c r="M229" s="12">
        <f>IF(OR(D229="",D229=0),"",L229/D229)</f>
      </c>
      <c r="N229" s="11">
        <f>IF((E229+F229)=0,"",ROUND(L229/((E229+F229)/60),2))</f>
      </c>
    </row>
    <row r="230">
      <c r="I230" s="11">
        <f>IF(E230="","",ROUND(((E230+F230)/60)*'Cost Rates'!$B$3,2))</f>
      </c>
      <c r="J230" s="11">
        <f>IF(D230="","",'Cost Rates'!$B$4)</f>
      </c>
      <c r="K230" s="11">
        <f>IF(D230="","",SUM(G230,H230,I230,J230))</f>
      </c>
      <c r="L230" s="11">
        <f>IF(D230="","",D230-K230)</f>
      </c>
      <c r="M230" s="12">
        <f>IF(OR(D230="",D230=0),"",L230/D230)</f>
      </c>
      <c r="N230" s="11">
        <f>IF((E230+F230)=0,"",ROUND(L230/((E230+F230)/60),2))</f>
      </c>
    </row>
    <row r="231">
      <c r="I231" s="11">
        <f>IF(E231="","",ROUND(((E231+F231)/60)*'Cost Rates'!$B$3,2))</f>
      </c>
      <c r="J231" s="11">
        <f>IF(D231="","",'Cost Rates'!$B$4)</f>
      </c>
      <c r="K231" s="11">
        <f>IF(D231="","",SUM(G231,H231,I231,J231))</f>
      </c>
      <c r="L231" s="11">
        <f>IF(D231="","",D231-K231)</f>
      </c>
      <c r="M231" s="12">
        <f>IF(OR(D231="",D231=0),"",L231/D231)</f>
      </c>
      <c r="N231" s="11">
        <f>IF((E231+F231)=0,"",ROUND(L231/((E231+F231)/60),2))</f>
      </c>
    </row>
    <row r="232">
      <c r="I232" s="11">
        <f>IF(E232="","",ROUND(((E232+F232)/60)*'Cost Rates'!$B$3,2))</f>
      </c>
      <c r="J232" s="11">
        <f>IF(D232="","",'Cost Rates'!$B$4)</f>
      </c>
      <c r="K232" s="11">
        <f>IF(D232="","",SUM(G232,H232,I232,J232))</f>
      </c>
      <c r="L232" s="11">
        <f>IF(D232="","",D232-K232)</f>
      </c>
      <c r="M232" s="12">
        <f>IF(OR(D232="",D232=0),"",L232/D232)</f>
      </c>
      <c r="N232" s="11">
        <f>IF((E232+F232)=0,"",ROUND(L232/((E232+F232)/60),2))</f>
      </c>
    </row>
    <row r="233">
      <c r="I233" s="11">
        <f>IF(E233="","",ROUND(((E233+F233)/60)*'Cost Rates'!$B$3,2))</f>
      </c>
      <c r="J233" s="11">
        <f>IF(D233="","",'Cost Rates'!$B$4)</f>
      </c>
      <c r="K233" s="11">
        <f>IF(D233="","",SUM(G233,H233,I233,J233))</f>
      </c>
      <c r="L233" s="11">
        <f>IF(D233="","",D233-K233)</f>
      </c>
      <c r="M233" s="12">
        <f>IF(OR(D233="",D233=0),"",L233/D233)</f>
      </c>
      <c r="N233" s="11">
        <f>IF((E233+F233)=0,"",ROUND(L233/((E233+F233)/60),2))</f>
      </c>
    </row>
    <row r="234">
      <c r="I234" s="11">
        <f>IF(E234="","",ROUND(((E234+F234)/60)*'Cost Rates'!$B$3,2))</f>
      </c>
      <c r="J234" s="11">
        <f>IF(D234="","",'Cost Rates'!$B$4)</f>
      </c>
      <c r="K234" s="11">
        <f>IF(D234="","",SUM(G234,H234,I234,J234))</f>
      </c>
      <c r="L234" s="11">
        <f>IF(D234="","",D234-K234)</f>
      </c>
      <c r="M234" s="12">
        <f>IF(OR(D234="",D234=0),"",L234/D234)</f>
      </c>
      <c r="N234" s="11">
        <f>IF((E234+F234)=0,"",ROUND(L234/((E234+F234)/60),2))</f>
      </c>
    </row>
    <row r="235">
      <c r="I235" s="11">
        <f>IF(E235="","",ROUND(((E235+F235)/60)*'Cost Rates'!$B$3,2))</f>
      </c>
      <c r="J235" s="11">
        <f>IF(D235="","",'Cost Rates'!$B$4)</f>
      </c>
      <c r="K235" s="11">
        <f>IF(D235="","",SUM(G235,H235,I235,J235))</f>
      </c>
      <c r="L235" s="11">
        <f>IF(D235="","",D235-K235)</f>
      </c>
      <c r="M235" s="12">
        <f>IF(OR(D235="",D235=0),"",L235/D235)</f>
      </c>
      <c r="N235" s="11">
        <f>IF((E235+F235)=0,"",ROUND(L235/((E235+F235)/60),2))</f>
      </c>
    </row>
    <row r="236">
      <c r="I236" s="11">
        <f>IF(E236="","",ROUND(((E236+F236)/60)*'Cost Rates'!$B$3,2))</f>
      </c>
      <c r="J236" s="11">
        <f>IF(D236="","",'Cost Rates'!$B$4)</f>
      </c>
      <c r="K236" s="11">
        <f>IF(D236="","",SUM(G236,H236,I236,J236))</f>
      </c>
      <c r="L236" s="11">
        <f>IF(D236="","",D236-K236)</f>
      </c>
      <c r="M236" s="12">
        <f>IF(OR(D236="",D236=0),"",L236/D236)</f>
      </c>
      <c r="N236" s="11">
        <f>IF((E236+F236)=0,"",ROUND(L236/((E236+F236)/60),2))</f>
      </c>
    </row>
    <row r="237">
      <c r="I237" s="11">
        <f>IF(E237="","",ROUND(((E237+F237)/60)*'Cost Rates'!$B$3,2))</f>
      </c>
      <c r="J237" s="11">
        <f>IF(D237="","",'Cost Rates'!$B$4)</f>
      </c>
      <c r="K237" s="11">
        <f>IF(D237="","",SUM(G237,H237,I237,J237))</f>
      </c>
      <c r="L237" s="11">
        <f>IF(D237="","",D237-K237)</f>
      </c>
      <c r="M237" s="12">
        <f>IF(OR(D237="",D237=0),"",L237/D237)</f>
      </c>
      <c r="N237" s="11">
        <f>IF((E237+F237)=0,"",ROUND(L237/((E237+F237)/60),2))</f>
      </c>
    </row>
    <row r="238">
      <c r="I238" s="11">
        <f>IF(E238="","",ROUND(((E238+F238)/60)*'Cost Rates'!$B$3,2))</f>
      </c>
      <c r="J238" s="11">
        <f>IF(D238="","",'Cost Rates'!$B$4)</f>
      </c>
      <c r="K238" s="11">
        <f>IF(D238="","",SUM(G238,H238,I238,J238))</f>
      </c>
      <c r="L238" s="11">
        <f>IF(D238="","",D238-K238)</f>
      </c>
      <c r="M238" s="12">
        <f>IF(OR(D238="",D238=0),"",L238/D238)</f>
      </c>
      <c r="N238" s="11">
        <f>IF((E238+F238)=0,"",ROUND(L238/((E238+F238)/60),2))</f>
      </c>
    </row>
    <row r="239">
      <c r="I239" s="11">
        <f>IF(E239="","",ROUND(((E239+F239)/60)*'Cost Rates'!$B$3,2))</f>
      </c>
      <c r="J239" s="11">
        <f>IF(D239="","",'Cost Rates'!$B$4)</f>
      </c>
      <c r="K239" s="11">
        <f>IF(D239="","",SUM(G239,H239,I239,J239))</f>
      </c>
      <c r="L239" s="11">
        <f>IF(D239="","",D239-K239)</f>
      </c>
      <c r="M239" s="12">
        <f>IF(OR(D239="",D239=0),"",L239/D239)</f>
      </c>
      <c r="N239" s="11">
        <f>IF((E239+F239)=0,"",ROUND(L239/((E239+F239)/60),2))</f>
      </c>
    </row>
    <row r="240">
      <c r="I240" s="11">
        <f>IF(E240="","",ROUND(((E240+F240)/60)*'Cost Rates'!$B$3,2))</f>
      </c>
      <c r="J240" s="11">
        <f>IF(D240="","",'Cost Rates'!$B$4)</f>
      </c>
      <c r="K240" s="11">
        <f>IF(D240="","",SUM(G240,H240,I240,J240))</f>
      </c>
      <c r="L240" s="11">
        <f>IF(D240="","",D240-K240)</f>
      </c>
      <c r="M240" s="12">
        <f>IF(OR(D240="",D240=0),"",L240/D240)</f>
      </c>
      <c r="N240" s="11">
        <f>IF((E240+F240)=0,"",ROUND(L240/((E240+F240)/60),2))</f>
      </c>
    </row>
    <row r="241">
      <c r="I241" s="11">
        <f>IF(E241="","",ROUND(((E241+F241)/60)*'Cost Rates'!$B$3,2))</f>
      </c>
      <c r="J241" s="11">
        <f>IF(D241="","",'Cost Rates'!$B$4)</f>
      </c>
      <c r="K241" s="11">
        <f>IF(D241="","",SUM(G241,H241,I241,J241))</f>
      </c>
      <c r="L241" s="11">
        <f>IF(D241="","",D241-K241)</f>
      </c>
      <c r="M241" s="12">
        <f>IF(OR(D241="",D241=0),"",L241/D241)</f>
      </c>
      <c r="N241" s="11">
        <f>IF((E241+F241)=0,"",ROUND(L241/((E241+F241)/60),2))</f>
      </c>
    </row>
    <row r="242">
      <c r="I242" s="11">
        <f>IF(E242="","",ROUND(((E242+F242)/60)*'Cost Rates'!$B$3,2))</f>
      </c>
      <c r="J242" s="11">
        <f>IF(D242="","",'Cost Rates'!$B$4)</f>
      </c>
      <c r="K242" s="11">
        <f>IF(D242="","",SUM(G242,H242,I242,J242))</f>
      </c>
      <c r="L242" s="11">
        <f>IF(D242="","",D242-K242)</f>
      </c>
      <c r="M242" s="12">
        <f>IF(OR(D242="",D242=0),"",L242/D242)</f>
      </c>
      <c r="N242" s="11">
        <f>IF((E242+F242)=0,"",ROUND(L242/((E242+F242)/60),2))</f>
      </c>
    </row>
    <row r="243">
      <c r="I243" s="11">
        <f>IF(E243="","",ROUND(((E243+F243)/60)*'Cost Rates'!$B$3,2))</f>
      </c>
      <c r="J243" s="11">
        <f>IF(D243="","",'Cost Rates'!$B$4)</f>
      </c>
      <c r="K243" s="11">
        <f>IF(D243="","",SUM(G243,H243,I243,J243))</f>
      </c>
      <c r="L243" s="11">
        <f>IF(D243="","",D243-K243)</f>
      </c>
      <c r="M243" s="12">
        <f>IF(OR(D243="",D243=0),"",L243/D243)</f>
      </c>
      <c r="N243" s="11">
        <f>IF((E243+F243)=0,"",ROUND(L243/((E243+F243)/60),2))</f>
      </c>
    </row>
    <row r="244">
      <c r="I244" s="11">
        <f>IF(E244="","",ROUND(((E244+F244)/60)*'Cost Rates'!$B$3,2))</f>
      </c>
      <c r="J244" s="11">
        <f>IF(D244="","",'Cost Rates'!$B$4)</f>
      </c>
      <c r="K244" s="11">
        <f>IF(D244="","",SUM(G244,H244,I244,J244))</f>
      </c>
      <c r="L244" s="11">
        <f>IF(D244="","",D244-K244)</f>
      </c>
      <c r="M244" s="12">
        <f>IF(OR(D244="",D244=0),"",L244/D244)</f>
      </c>
      <c r="N244" s="11">
        <f>IF((E244+F244)=0,"",ROUND(L244/((E244+F244)/60),2))</f>
      </c>
    </row>
    <row r="245">
      <c r="I245" s="11">
        <f>IF(E245="","",ROUND(((E245+F245)/60)*'Cost Rates'!$B$3,2))</f>
      </c>
      <c r="J245" s="11">
        <f>IF(D245="","",'Cost Rates'!$B$4)</f>
      </c>
      <c r="K245" s="11">
        <f>IF(D245="","",SUM(G245,H245,I245,J245))</f>
      </c>
      <c r="L245" s="11">
        <f>IF(D245="","",D245-K245)</f>
      </c>
      <c r="M245" s="12">
        <f>IF(OR(D245="",D245=0),"",L245/D245)</f>
      </c>
      <c r="N245" s="11">
        <f>IF((E245+F245)=0,"",ROUND(L245/((E245+F245)/60),2))</f>
      </c>
    </row>
    <row r="246">
      <c r="I246" s="11">
        <f>IF(E246="","",ROUND(((E246+F246)/60)*'Cost Rates'!$B$3,2))</f>
      </c>
      <c r="J246" s="11">
        <f>IF(D246="","",'Cost Rates'!$B$4)</f>
      </c>
      <c r="K246" s="11">
        <f>IF(D246="","",SUM(G246,H246,I246,J246))</f>
      </c>
      <c r="L246" s="11">
        <f>IF(D246="","",D246-K246)</f>
      </c>
      <c r="M246" s="12">
        <f>IF(OR(D246="",D246=0),"",L246/D246)</f>
      </c>
      <c r="N246" s="11">
        <f>IF((E246+F246)=0,"",ROUND(L246/((E246+F246)/60),2))</f>
      </c>
    </row>
    <row r="247">
      <c r="I247" s="11">
        <f>IF(E247="","",ROUND(((E247+F247)/60)*'Cost Rates'!$B$3,2))</f>
      </c>
      <c r="J247" s="11">
        <f>IF(D247="","",'Cost Rates'!$B$4)</f>
      </c>
      <c r="K247" s="11">
        <f>IF(D247="","",SUM(G247,H247,I247,J247))</f>
      </c>
      <c r="L247" s="11">
        <f>IF(D247="","",D247-K247)</f>
      </c>
      <c r="M247" s="12">
        <f>IF(OR(D247="",D247=0),"",L247/D247)</f>
      </c>
      <c r="N247" s="11">
        <f>IF((E247+F247)=0,"",ROUND(L247/((E247+F247)/60),2))</f>
      </c>
    </row>
    <row r="248">
      <c r="I248" s="11">
        <f>IF(E248="","",ROUND(((E248+F248)/60)*'Cost Rates'!$B$3,2))</f>
      </c>
      <c r="J248" s="11">
        <f>IF(D248="","",'Cost Rates'!$B$4)</f>
      </c>
      <c r="K248" s="11">
        <f>IF(D248="","",SUM(G248,H248,I248,J248))</f>
      </c>
      <c r="L248" s="11">
        <f>IF(D248="","",D248-K248)</f>
      </c>
      <c r="M248" s="12">
        <f>IF(OR(D248="",D248=0),"",L248/D248)</f>
      </c>
      <c r="N248" s="11">
        <f>IF((E248+F248)=0,"",ROUND(L248/((E248+F248)/60),2))</f>
      </c>
    </row>
    <row r="249">
      <c r="I249" s="11">
        <f>IF(E249="","",ROUND(((E249+F249)/60)*'Cost Rates'!$B$3,2))</f>
      </c>
      <c r="J249" s="11">
        <f>IF(D249="","",'Cost Rates'!$B$4)</f>
      </c>
      <c r="K249" s="11">
        <f>IF(D249="","",SUM(G249,H249,I249,J249))</f>
      </c>
      <c r="L249" s="11">
        <f>IF(D249="","",D249-K249)</f>
      </c>
      <c r="M249" s="12">
        <f>IF(OR(D249="",D249=0),"",L249/D249)</f>
      </c>
      <c r="N249" s="11">
        <f>IF((E249+F249)=0,"",ROUND(L249/((E249+F249)/60),2))</f>
      </c>
    </row>
    <row r="250">
      <c r="I250" s="11">
        <f>IF(E250="","",ROUND(((E250+F250)/60)*'Cost Rates'!$B$3,2))</f>
      </c>
      <c r="J250" s="11">
        <f>IF(D250="","",'Cost Rates'!$B$4)</f>
      </c>
      <c r="K250" s="11">
        <f>IF(D250="","",SUM(G250,H250,I250,J250))</f>
      </c>
      <c r="L250" s="11">
        <f>IF(D250="","",D250-K250)</f>
      </c>
      <c r="M250" s="12">
        <f>IF(OR(D250="",D250=0),"",L250/D250)</f>
      </c>
      <c r="N250" s="11">
        <f>IF((E250+F250)=0,"",ROUND(L250/((E250+F250)/60),2))</f>
      </c>
    </row>
    <row r="251">
      <c r="I251" s="11">
        <f>IF(E251="","",ROUND(((E251+F251)/60)*'Cost Rates'!$B$3,2))</f>
      </c>
      <c r="J251" s="11">
        <f>IF(D251="","",'Cost Rates'!$B$4)</f>
      </c>
      <c r="K251" s="11">
        <f>IF(D251="","",SUM(G251,H251,I251,J251))</f>
      </c>
      <c r="L251" s="11">
        <f>IF(D251="","",D251-K251)</f>
      </c>
      <c r="M251" s="12">
        <f>IF(OR(D251="",D251=0),"",L251/D251)</f>
      </c>
      <c r="N251" s="11">
        <f>IF((E251+F251)=0,"",ROUND(L251/((E251+F251)/60),2))</f>
      </c>
    </row>
    <row r="252">
      <c r="I252" s="11">
        <f>IF(E252="","",ROUND(((E252+F252)/60)*'Cost Rates'!$B$3,2))</f>
      </c>
      <c r="J252" s="11">
        <f>IF(D252="","",'Cost Rates'!$B$4)</f>
      </c>
      <c r="K252" s="11">
        <f>IF(D252="","",SUM(G252,H252,I252,J252))</f>
      </c>
      <c r="L252" s="11">
        <f>IF(D252="","",D252-K252)</f>
      </c>
      <c r="M252" s="12">
        <f>IF(OR(D252="",D252=0),"",L252/D252)</f>
      </c>
      <c r="N252" s="11">
        <f>IF((E252+F252)=0,"",ROUND(L252/((E252+F252)/60),2))</f>
      </c>
    </row>
    <row r="253">
      <c r="I253" s="11">
        <f>IF(E253="","",ROUND(((E253+F253)/60)*'Cost Rates'!$B$3,2))</f>
      </c>
      <c r="J253" s="11">
        <f>IF(D253="","",'Cost Rates'!$B$4)</f>
      </c>
      <c r="K253" s="11">
        <f>IF(D253="","",SUM(G253,H253,I253,J253))</f>
      </c>
      <c r="L253" s="11">
        <f>IF(D253="","",D253-K253)</f>
      </c>
      <c r="M253" s="12">
        <f>IF(OR(D253="",D253=0),"",L253/D253)</f>
      </c>
      <c r="N253" s="11">
        <f>IF((E253+F253)=0,"",ROUND(L253/((E253+F253)/60),2))</f>
      </c>
    </row>
    <row r="254">
      <c r="I254" s="11">
        <f>IF(E254="","",ROUND(((E254+F254)/60)*'Cost Rates'!$B$3,2))</f>
      </c>
      <c r="J254" s="11">
        <f>IF(D254="","",'Cost Rates'!$B$4)</f>
      </c>
      <c r="K254" s="11">
        <f>IF(D254="","",SUM(G254,H254,I254,J254))</f>
      </c>
      <c r="L254" s="11">
        <f>IF(D254="","",D254-K254)</f>
      </c>
      <c r="M254" s="12">
        <f>IF(OR(D254="",D254=0),"",L254/D254)</f>
      </c>
      <c r="N254" s="11">
        <f>IF((E254+F254)=0,"",ROUND(L254/((E254+F254)/60),2))</f>
      </c>
    </row>
    <row r="255">
      <c r="I255" s="11">
        <f>IF(E255="","",ROUND(((E255+F255)/60)*'Cost Rates'!$B$3,2))</f>
      </c>
      <c r="J255" s="11">
        <f>IF(D255="","",'Cost Rates'!$B$4)</f>
      </c>
      <c r="K255" s="11">
        <f>IF(D255="","",SUM(G255,H255,I255,J255))</f>
      </c>
      <c r="L255" s="11">
        <f>IF(D255="","",D255-K255)</f>
      </c>
      <c r="M255" s="12">
        <f>IF(OR(D255="",D255=0),"",L255/D255)</f>
      </c>
      <c r="N255" s="11">
        <f>IF((E255+F255)=0,"",ROUND(L255/((E255+F255)/60),2))</f>
      </c>
    </row>
    <row r="256">
      <c r="I256" s="11">
        <f>IF(E256="","",ROUND(((E256+F256)/60)*'Cost Rates'!$B$3,2))</f>
      </c>
      <c r="J256" s="11">
        <f>IF(D256="","",'Cost Rates'!$B$4)</f>
      </c>
      <c r="K256" s="11">
        <f>IF(D256="","",SUM(G256,H256,I256,J256))</f>
      </c>
      <c r="L256" s="11">
        <f>IF(D256="","",D256-K256)</f>
      </c>
      <c r="M256" s="12">
        <f>IF(OR(D256="",D256=0),"",L256/D256)</f>
      </c>
      <c r="N256" s="11">
        <f>IF((E256+F256)=0,"",ROUND(L256/((E256+F256)/60),2))</f>
      </c>
    </row>
    <row r="257">
      <c r="I257" s="11">
        <f>IF(E257="","",ROUND(((E257+F257)/60)*'Cost Rates'!$B$3,2))</f>
      </c>
      <c r="J257" s="11">
        <f>IF(D257="","",'Cost Rates'!$B$4)</f>
      </c>
      <c r="K257" s="11">
        <f>IF(D257="","",SUM(G257,H257,I257,J257))</f>
      </c>
      <c r="L257" s="11">
        <f>IF(D257="","",D257-K257)</f>
      </c>
      <c r="M257" s="12">
        <f>IF(OR(D257="",D257=0),"",L257/D257)</f>
      </c>
      <c r="N257" s="11">
        <f>IF((E257+F257)=0,"",ROUND(L257/((E257+F257)/60),2))</f>
      </c>
    </row>
    <row r="258">
      <c r="I258" s="11">
        <f>IF(E258="","",ROUND(((E258+F258)/60)*'Cost Rates'!$B$3,2))</f>
      </c>
      <c r="J258" s="11">
        <f>IF(D258="","",'Cost Rates'!$B$4)</f>
      </c>
      <c r="K258" s="11">
        <f>IF(D258="","",SUM(G258,H258,I258,J258))</f>
      </c>
      <c r="L258" s="11">
        <f>IF(D258="","",D258-K258)</f>
      </c>
      <c r="M258" s="12">
        <f>IF(OR(D258="",D258=0),"",L258/D258)</f>
      </c>
      <c r="N258" s="11">
        <f>IF((E258+F258)=0,"",ROUND(L258/((E258+F258)/60),2))</f>
      </c>
    </row>
    <row r="259">
      <c r="I259" s="11">
        <f>IF(E259="","",ROUND(((E259+F259)/60)*'Cost Rates'!$B$3,2))</f>
      </c>
      <c r="J259" s="11">
        <f>IF(D259="","",'Cost Rates'!$B$4)</f>
      </c>
      <c r="K259" s="11">
        <f>IF(D259="","",SUM(G259,H259,I259,J259))</f>
      </c>
      <c r="L259" s="11">
        <f>IF(D259="","",D259-K259)</f>
      </c>
      <c r="M259" s="12">
        <f>IF(OR(D259="",D259=0),"",L259/D259)</f>
      </c>
      <c r="N259" s="11">
        <f>IF((E259+F259)=0,"",ROUND(L259/((E259+F259)/60),2))</f>
      </c>
    </row>
    <row r="260">
      <c r="I260" s="11">
        <f>IF(E260="","",ROUND(((E260+F260)/60)*'Cost Rates'!$B$3,2))</f>
      </c>
      <c r="J260" s="11">
        <f>IF(D260="","",'Cost Rates'!$B$4)</f>
      </c>
      <c r="K260" s="11">
        <f>IF(D260="","",SUM(G260,H260,I260,J260))</f>
      </c>
      <c r="L260" s="11">
        <f>IF(D260="","",D260-K260)</f>
      </c>
      <c r="M260" s="12">
        <f>IF(OR(D260="",D260=0),"",L260/D260)</f>
      </c>
      <c r="N260" s="11">
        <f>IF((E260+F260)=0,"",ROUND(L260/((E260+F260)/60),2))</f>
      </c>
    </row>
    <row r="261">
      <c r="I261" s="11">
        <f>IF(E261="","",ROUND(((E261+F261)/60)*'Cost Rates'!$B$3,2))</f>
      </c>
      <c r="J261" s="11">
        <f>IF(D261="","",'Cost Rates'!$B$4)</f>
      </c>
      <c r="K261" s="11">
        <f>IF(D261="","",SUM(G261,H261,I261,J261))</f>
      </c>
      <c r="L261" s="11">
        <f>IF(D261="","",D261-K261)</f>
      </c>
      <c r="M261" s="12">
        <f>IF(OR(D261="",D261=0),"",L261/D261)</f>
      </c>
      <c r="N261" s="11">
        <f>IF((E261+F261)=0,"",ROUND(L261/((E261+F261)/60),2))</f>
      </c>
    </row>
    <row r="262">
      <c r="I262" s="11">
        <f>IF(E262="","",ROUND(((E262+F262)/60)*'Cost Rates'!$B$3,2))</f>
      </c>
      <c r="J262" s="11">
        <f>IF(D262="","",'Cost Rates'!$B$4)</f>
      </c>
      <c r="K262" s="11">
        <f>IF(D262="","",SUM(G262,H262,I262,J262))</f>
      </c>
      <c r="L262" s="11">
        <f>IF(D262="","",D262-K262)</f>
      </c>
      <c r="M262" s="12">
        <f>IF(OR(D262="",D262=0),"",L262/D262)</f>
      </c>
      <c r="N262" s="11">
        <f>IF((E262+F262)=0,"",ROUND(L262/((E262+F262)/60),2))</f>
      </c>
    </row>
    <row r="263">
      <c r="I263" s="11">
        <f>IF(E263="","",ROUND(((E263+F263)/60)*'Cost Rates'!$B$3,2))</f>
      </c>
      <c r="J263" s="11">
        <f>IF(D263="","",'Cost Rates'!$B$4)</f>
      </c>
      <c r="K263" s="11">
        <f>IF(D263="","",SUM(G263,H263,I263,J263))</f>
      </c>
      <c r="L263" s="11">
        <f>IF(D263="","",D263-K263)</f>
      </c>
      <c r="M263" s="12">
        <f>IF(OR(D263="",D263=0),"",L263/D263)</f>
      </c>
      <c r="N263" s="11">
        <f>IF((E263+F263)=0,"",ROUND(L263/((E263+F263)/60),2))</f>
      </c>
    </row>
    <row r="264">
      <c r="I264" s="11">
        <f>IF(E264="","",ROUND(((E264+F264)/60)*'Cost Rates'!$B$3,2))</f>
      </c>
      <c r="J264" s="11">
        <f>IF(D264="","",'Cost Rates'!$B$4)</f>
      </c>
      <c r="K264" s="11">
        <f>IF(D264="","",SUM(G264,H264,I264,J264))</f>
      </c>
      <c r="L264" s="11">
        <f>IF(D264="","",D264-K264)</f>
      </c>
      <c r="M264" s="12">
        <f>IF(OR(D264="",D264=0),"",L264/D264)</f>
      </c>
      <c r="N264" s="11">
        <f>IF((E264+F264)=0,"",ROUND(L264/((E264+F264)/60),2))</f>
      </c>
    </row>
    <row r="265">
      <c r="I265" s="11">
        <f>IF(E265="","",ROUND(((E265+F265)/60)*'Cost Rates'!$B$3,2))</f>
      </c>
      <c r="J265" s="11">
        <f>IF(D265="","",'Cost Rates'!$B$4)</f>
      </c>
      <c r="K265" s="11">
        <f>IF(D265="","",SUM(G265,H265,I265,J265))</f>
      </c>
      <c r="L265" s="11">
        <f>IF(D265="","",D265-K265)</f>
      </c>
      <c r="M265" s="12">
        <f>IF(OR(D265="",D265=0),"",L265/D265)</f>
      </c>
      <c r="N265" s="11">
        <f>IF((E265+F265)=0,"",ROUND(L265/((E265+F265)/60),2))</f>
      </c>
    </row>
    <row r="266">
      <c r="I266" s="11">
        <f>IF(E266="","",ROUND(((E266+F266)/60)*'Cost Rates'!$B$3,2))</f>
      </c>
      <c r="J266" s="11">
        <f>IF(D266="","",'Cost Rates'!$B$4)</f>
      </c>
      <c r="K266" s="11">
        <f>IF(D266="","",SUM(G266,H266,I266,J266))</f>
      </c>
      <c r="L266" s="11">
        <f>IF(D266="","",D266-K266)</f>
      </c>
      <c r="M266" s="12">
        <f>IF(OR(D266="",D266=0),"",L266/D266)</f>
      </c>
      <c r="N266" s="11">
        <f>IF((E266+F266)=0,"",ROUND(L266/((E266+F266)/60),2))</f>
      </c>
    </row>
    <row r="267">
      <c r="I267" s="11">
        <f>IF(E267="","",ROUND(((E267+F267)/60)*'Cost Rates'!$B$3,2))</f>
      </c>
      <c r="J267" s="11">
        <f>IF(D267="","",'Cost Rates'!$B$4)</f>
      </c>
      <c r="K267" s="11">
        <f>IF(D267="","",SUM(G267,H267,I267,J267))</f>
      </c>
      <c r="L267" s="11">
        <f>IF(D267="","",D267-K267)</f>
      </c>
      <c r="M267" s="12">
        <f>IF(OR(D267="",D267=0),"",L267/D267)</f>
      </c>
      <c r="N267" s="11">
        <f>IF((E267+F267)=0,"",ROUND(L267/((E267+F267)/60),2))</f>
      </c>
    </row>
    <row r="268">
      <c r="I268" s="11">
        <f>IF(E268="","",ROUND(((E268+F268)/60)*'Cost Rates'!$B$3,2))</f>
      </c>
      <c r="J268" s="11">
        <f>IF(D268="","",'Cost Rates'!$B$4)</f>
      </c>
      <c r="K268" s="11">
        <f>IF(D268="","",SUM(G268,H268,I268,J268))</f>
      </c>
      <c r="L268" s="11">
        <f>IF(D268="","",D268-K268)</f>
      </c>
      <c r="M268" s="12">
        <f>IF(OR(D268="",D268=0),"",L268/D268)</f>
      </c>
      <c r="N268" s="11">
        <f>IF((E268+F268)=0,"",ROUND(L268/((E268+F268)/60),2))</f>
      </c>
    </row>
    <row r="269">
      <c r="I269" s="11">
        <f>IF(E269="","",ROUND(((E269+F269)/60)*'Cost Rates'!$B$3,2))</f>
      </c>
      <c r="J269" s="11">
        <f>IF(D269="","",'Cost Rates'!$B$4)</f>
      </c>
      <c r="K269" s="11">
        <f>IF(D269="","",SUM(G269,H269,I269,J269))</f>
      </c>
      <c r="L269" s="11">
        <f>IF(D269="","",D269-K269)</f>
      </c>
      <c r="M269" s="12">
        <f>IF(OR(D269="",D269=0),"",L269/D269)</f>
      </c>
      <c r="N269" s="11">
        <f>IF((E269+F269)=0,"",ROUND(L269/((E269+F269)/60),2))</f>
      </c>
    </row>
    <row r="270">
      <c r="I270" s="11">
        <f>IF(E270="","",ROUND(((E270+F270)/60)*'Cost Rates'!$B$3,2))</f>
      </c>
      <c r="J270" s="11">
        <f>IF(D270="","",'Cost Rates'!$B$4)</f>
      </c>
      <c r="K270" s="11">
        <f>IF(D270="","",SUM(G270,H270,I270,J270))</f>
      </c>
      <c r="L270" s="11">
        <f>IF(D270="","",D270-K270)</f>
      </c>
      <c r="M270" s="12">
        <f>IF(OR(D270="",D270=0),"",L270/D270)</f>
      </c>
      <c r="N270" s="11">
        <f>IF((E270+F270)=0,"",ROUND(L270/((E270+F270)/60),2))</f>
      </c>
    </row>
    <row r="271">
      <c r="I271" s="11">
        <f>IF(E271="","",ROUND(((E271+F271)/60)*'Cost Rates'!$B$3,2))</f>
      </c>
      <c r="J271" s="11">
        <f>IF(D271="","",'Cost Rates'!$B$4)</f>
      </c>
      <c r="K271" s="11">
        <f>IF(D271="","",SUM(G271,H271,I271,J271))</f>
      </c>
      <c r="L271" s="11">
        <f>IF(D271="","",D271-K271)</f>
      </c>
      <c r="M271" s="12">
        <f>IF(OR(D271="",D271=0),"",L271/D271)</f>
      </c>
      <c r="N271" s="11">
        <f>IF((E271+F271)=0,"",ROUND(L271/((E271+F271)/60),2))</f>
      </c>
    </row>
    <row r="272">
      <c r="I272" s="11">
        <f>IF(E272="","",ROUND(((E272+F272)/60)*'Cost Rates'!$B$3,2))</f>
      </c>
      <c r="J272" s="11">
        <f>IF(D272="","",'Cost Rates'!$B$4)</f>
      </c>
      <c r="K272" s="11">
        <f>IF(D272="","",SUM(G272,H272,I272,J272))</f>
      </c>
      <c r="L272" s="11">
        <f>IF(D272="","",D272-K272)</f>
      </c>
      <c r="M272" s="12">
        <f>IF(OR(D272="",D272=0),"",L272/D272)</f>
      </c>
      <c r="N272" s="11">
        <f>IF((E272+F272)=0,"",ROUND(L272/((E272+F272)/60),2))</f>
      </c>
    </row>
    <row r="273">
      <c r="I273" s="11">
        <f>IF(E273="","",ROUND(((E273+F273)/60)*'Cost Rates'!$B$3,2))</f>
      </c>
      <c r="J273" s="11">
        <f>IF(D273="","",'Cost Rates'!$B$4)</f>
      </c>
      <c r="K273" s="11">
        <f>IF(D273="","",SUM(G273,H273,I273,J273))</f>
      </c>
      <c r="L273" s="11">
        <f>IF(D273="","",D273-K273)</f>
      </c>
      <c r="M273" s="12">
        <f>IF(OR(D273="",D273=0),"",L273/D273)</f>
      </c>
      <c r="N273" s="11">
        <f>IF((E273+F273)=0,"",ROUND(L273/((E273+F273)/60),2))</f>
      </c>
    </row>
    <row r="274">
      <c r="I274" s="11">
        <f>IF(E274="","",ROUND(((E274+F274)/60)*'Cost Rates'!$B$3,2))</f>
      </c>
      <c r="J274" s="11">
        <f>IF(D274="","",'Cost Rates'!$B$4)</f>
      </c>
      <c r="K274" s="11">
        <f>IF(D274="","",SUM(G274,H274,I274,J274))</f>
      </c>
      <c r="L274" s="11">
        <f>IF(D274="","",D274-K274)</f>
      </c>
      <c r="M274" s="12">
        <f>IF(OR(D274="",D274=0),"",L274/D274)</f>
      </c>
      <c r="N274" s="11">
        <f>IF((E274+F274)=0,"",ROUND(L274/((E274+F274)/60),2))</f>
      </c>
    </row>
    <row r="275">
      <c r="I275" s="11">
        <f>IF(E275="","",ROUND(((E275+F275)/60)*'Cost Rates'!$B$3,2))</f>
      </c>
      <c r="J275" s="11">
        <f>IF(D275="","",'Cost Rates'!$B$4)</f>
      </c>
      <c r="K275" s="11">
        <f>IF(D275="","",SUM(G275,H275,I275,J275))</f>
      </c>
      <c r="L275" s="11">
        <f>IF(D275="","",D275-K275)</f>
      </c>
      <c r="M275" s="12">
        <f>IF(OR(D275="",D275=0),"",L275/D275)</f>
      </c>
      <c r="N275" s="11">
        <f>IF((E275+F275)=0,"",ROUND(L275/((E275+F275)/60),2))</f>
      </c>
    </row>
    <row r="276">
      <c r="I276" s="11">
        <f>IF(E276="","",ROUND(((E276+F276)/60)*'Cost Rates'!$B$3,2))</f>
      </c>
      <c r="J276" s="11">
        <f>IF(D276="","",'Cost Rates'!$B$4)</f>
      </c>
      <c r="K276" s="11">
        <f>IF(D276="","",SUM(G276,H276,I276,J276))</f>
      </c>
      <c r="L276" s="11">
        <f>IF(D276="","",D276-K276)</f>
      </c>
      <c r="M276" s="12">
        <f>IF(OR(D276="",D276=0),"",L276/D276)</f>
      </c>
      <c r="N276" s="11">
        <f>IF((E276+F276)=0,"",ROUND(L276/((E276+F276)/60),2))</f>
      </c>
    </row>
    <row r="277">
      <c r="I277" s="11">
        <f>IF(E277="","",ROUND(((E277+F277)/60)*'Cost Rates'!$B$3,2))</f>
      </c>
      <c r="J277" s="11">
        <f>IF(D277="","",'Cost Rates'!$B$4)</f>
      </c>
      <c r="K277" s="11">
        <f>IF(D277="","",SUM(G277,H277,I277,J277))</f>
      </c>
      <c r="L277" s="11">
        <f>IF(D277="","",D277-K277)</f>
      </c>
      <c r="M277" s="12">
        <f>IF(OR(D277="",D277=0),"",L277/D277)</f>
      </c>
      <c r="N277" s="11">
        <f>IF((E277+F277)=0,"",ROUND(L277/((E277+F277)/60),2))</f>
      </c>
    </row>
    <row r="278">
      <c r="I278" s="11">
        <f>IF(E278="","",ROUND(((E278+F278)/60)*'Cost Rates'!$B$3,2))</f>
      </c>
      <c r="J278" s="11">
        <f>IF(D278="","",'Cost Rates'!$B$4)</f>
      </c>
      <c r="K278" s="11">
        <f>IF(D278="","",SUM(G278,H278,I278,J278))</f>
      </c>
      <c r="L278" s="11">
        <f>IF(D278="","",D278-K278)</f>
      </c>
      <c r="M278" s="12">
        <f>IF(OR(D278="",D278=0),"",L278/D278)</f>
      </c>
      <c r="N278" s="11">
        <f>IF((E278+F278)=0,"",ROUND(L278/((E278+F278)/60),2))</f>
      </c>
    </row>
    <row r="279">
      <c r="I279" s="11">
        <f>IF(E279="","",ROUND(((E279+F279)/60)*'Cost Rates'!$B$3,2))</f>
      </c>
      <c r="J279" s="11">
        <f>IF(D279="","",'Cost Rates'!$B$4)</f>
      </c>
      <c r="K279" s="11">
        <f>IF(D279="","",SUM(G279,H279,I279,J279))</f>
      </c>
      <c r="L279" s="11">
        <f>IF(D279="","",D279-K279)</f>
      </c>
      <c r="M279" s="12">
        <f>IF(OR(D279="",D279=0),"",L279/D279)</f>
      </c>
      <c r="N279" s="11">
        <f>IF((E279+F279)=0,"",ROUND(L279/((E279+F279)/60),2))</f>
      </c>
    </row>
    <row r="280">
      <c r="I280" s="11">
        <f>IF(E280="","",ROUND(((E280+F280)/60)*'Cost Rates'!$B$3,2))</f>
      </c>
      <c r="J280" s="11">
        <f>IF(D280="","",'Cost Rates'!$B$4)</f>
      </c>
      <c r="K280" s="11">
        <f>IF(D280="","",SUM(G280,H280,I280,J280))</f>
      </c>
      <c r="L280" s="11">
        <f>IF(D280="","",D280-K280)</f>
      </c>
      <c r="M280" s="12">
        <f>IF(OR(D280="",D280=0),"",L280/D280)</f>
      </c>
      <c r="N280" s="11">
        <f>IF((E280+F280)=0,"",ROUND(L280/((E280+F280)/60),2))</f>
      </c>
    </row>
    <row r="281">
      <c r="I281" s="11">
        <f>IF(E281="","",ROUND(((E281+F281)/60)*'Cost Rates'!$B$3,2))</f>
      </c>
      <c r="J281" s="11">
        <f>IF(D281="","",'Cost Rates'!$B$4)</f>
      </c>
      <c r="K281" s="11">
        <f>IF(D281="","",SUM(G281,H281,I281,J281))</f>
      </c>
      <c r="L281" s="11">
        <f>IF(D281="","",D281-K281)</f>
      </c>
      <c r="M281" s="12">
        <f>IF(OR(D281="",D281=0),"",L281/D281)</f>
      </c>
      <c r="N281" s="11">
        <f>IF((E281+F281)=0,"",ROUND(L281/((E281+F281)/60),2))</f>
      </c>
    </row>
    <row r="282">
      <c r="I282" s="11">
        <f>IF(E282="","",ROUND(((E282+F282)/60)*'Cost Rates'!$B$3,2))</f>
      </c>
      <c r="J282" s="11">
        <f>IF(D282="","",'Cost Rates'!$B$4)</f>
      </c>
      <c r="K282" s="11">
        <f>IF(D282="","",SUM(G282,H282,I282,J282))</f>
      </c>
      <c r="L282" s="11">
        <f>IF(D282="","",D282-K282)</f>
      </c>
      <c r="M282" s="12">
        <f>IF(OR(D282="",D282=0),"",L282/D282)</f>
      </c>
      <c r="N282" s="11">
        <f>IF((E282+F282)=0,"",ROUND(L282/((E282+F282)/60),2))</f>
      </c>
    </row>
    <row r="283">
      <c r="I283" s="11">
        <f>IF(E283="","",ROUND(((E283+F283)/60)*'Cost Rates'!$B$3,2))</f>
      </c>
      <c r="J283" s="11">
        <f>IF(D283="","",'Cost Rates'!$B$4)</f>
      </c>
      <c r="K283" s="11">
        <f>IF(D283="","",SUM(G283,H283,I283,J283))</f>
      </c>
      <c r="L283" s="11">
        <f>IF(D283="","",D283-K283)</f>
      </c>
      <c r="M283" s="12">
        <f>IF(OR(D283="",D283=0),"",L283/D283)</f>
      </c>
      <c r="N283" s="11">
        <f>IF((E283+F283)=0,"",ROUND(L283/((E283+F283)/60),2))</f>
      </c>
    </row>
    <row r="284">
      <c r="I284" s="11">
        <f>IF(E284="","",ROUND(((E284+F284)/60)*'Cost Rates'!$B$3,2))</f>
      </c>
      <c r="J284" s="11">
        <f>IF(D284="","",'Cost Rates'!$B$4)</f>
      </c>
      <c r="K284" s="11">
        <f>IF(D284="","",SUM(G284,H284,I284,J284))</f>
      </c>
      <c r="L284" s="11">
        <f>IF(D284="","",D284-K284)</f>
      </c>
      <c r="M284" s="12">
        <f>IF(OR(D284="",D284=0),"",L284/D284)</f>
      </c>
      <c r="N284" s="11">
        <f>IF((E284+F284)=0,"",ROUND(L284/((E284+F284)/60),2))</f>
      </c>
    </row>
    <row r="285">
      <c r="I285" s="11">
        <f>IF(E285="","",ROUND(((E285+F285)/60)*'Cost Rates'!$B$3,2))</f>
      </c>
      <c r="J285" s="11">
        <f>IF(D285="","",'Cost Rates'!$B$4)</f>
      </c>
      <c r="K285" s="11">
        <f>IF(D285="","",SUM(G285,H285,I285,J285))</f>
      </c>
      <c r="L285" s="11">
        <f>IF(D285="","",D285-K285)</f>
      </c>
      <c r="M285" s="12">
        <f>IF(OR(D285="",D285=0),"",L285/D285)</f>
      </c>
      <c r="N285" s="11">
        <f>IF((E285+F285)=0,"",ROUND(L285/((E285+F285)/60),2))</f>
      </c>
    </row>
    <row r="286">
      <c r="I286" s="11">
        <f>IF(E286="","",ROUND(((E286+F286)/60)*'Cost Rates'!$B$3,2))</f>
      </c>
      <c r="J286" s="11">
        <f>IF(D286="","",'Cost Rates'!$B$4)</f>
      </c>
      <c r="K286" s="11">
        <f>IF(D286="","",SUM(G286,H286,I286,J286))</f>
      </c>
      <c r="L286" s="11">
        <f>IF(D286="","",D286-K286)</f>
      </c>
      <c r="M286" s="12">
        <f>IF(OR(D286="",D286=0),"",L286/D286)</f>
      </c>
      <c r="N286" s="11">
        <f>IF((E286+F286)=0,"",ROUND(L286/((E286+F286)/60),2))</f>
      </c>
    </row>
    <row r="287">
      <c r="I287" s="11">
        <f>IF(E287="","",ROUND(((E287+F287)/60)*'Cost Rates'!$B$3,2))</f>
      </c>
      <c r="J287" s="11">
        <f>IF(D287="","",'Cost Rates'!$B$4)</f>
      </c>
      <c r="K287" s="11">
        <f>IF(D287="","",SUM(G287,H287,I287,J287))</f>
      </c>
      <c r="L287" s="11">
        <f>IF(D287="","",D287-K287)</f>
      </c>
      <c r="M287" s="12">
        <f>IF(OR(D287="",D287=0),"",L287/D287)</f>
      </c>
      <c r="N287" s="11">
        <f>IF((E287+F287)=0,"",ROUND(L287/((E287+F287)/60),2))</f>
      </c>
    </row>
    <row r="288">
      <c r="I288" s="11">
        <f>IF(E288="","",ROUND(((E288+F288)/60)*'Cost Rates'!$B$3,2))</f>
      </c>
      <c r="J288" s="11">
        <f>IF(D288="","",'Cost Rates'!$B$4)</f>
      </c>
      <c r="K288" s="11">
        <f>IF(D288="","",SUM(G288,H288,I288,J288))</f>
      </c>
      <c r="L288" s="11">
        <f>IF(D288="","",D288-K288)</f>
      </c>
      <c r="M288" s="12">
        <f>IF(OR(D288="",D288=0),"",L288/D288)</f>
      </c>
      <c r="N288" s="11">
        <f>IF((E288+F288)=0,"",ROUND(L288/((E288+F288)/60),2))</f>
      </c>
    </row>
    <row r="289">
      <c r="I289" s="11">
        <f>IF(E289="","",ROUND(((E289+F289)/60)*'Cost Rates'!$B$3,2))</f>
      </c>
      <c r="J289" s="11">
        <f>IF(D289="","",'Cost Rates'!$B$4)</f>
      </c>
      <c r="K289" s="11">
        <f>IF(D289="","",SUM(G289,H289,I289,J289))</f>
      </c>
      <c r="L289" s="11">
        <f>IF(D289="","",D289-K289)</f>
      </c>
      <c r="M289" s="12">
        <f>IF(OR(D289="",D289=0),"",L289/D289)</f>
      </c>
      <c r="N289" s="11">
        <f>IF((E289+F289)=0,"",ROUND(L289/((E289+F289)/60),2))</f>
      </c>
    </row>
    <row r="290">
      <c r="I290" s="11">
        <f>IF(E290="","",ROUND(((E290+F290)/60)*'Cost Rates'!$B$3,2))</f>
      </c>
      <c r="J290" s="11">
        <f>IF(D290="","",'Cost Rates'!$B$4)</f>
      </c>
      <c r="K290" s="11">
        <f>IF(D290="","",SUM(G290,H290,I290,J290))</f>
      </c>
      <c r="L290" s="11">
        <f>IF(D290="","",D290-K290)</f>
      </c>
      <c r="M290" s="12">
        <f>IF(OR(D290="",D290=0),"",L290/D290)</f>
      </c>
      <c r="N290" s="11">
        <f>IF((E290+F290)=0,"",ROUND(L290/((E290+F290)/60),2))</f>
      </c>
    </row>
    <row r="291">
      <c r="I291" s="11">
        <f>IF(E291="","",ROUND(((E291+F291)/60)*'Cost Rates'!$B$3,2))</f>
      </c>
      <c r="J291" s="11">
        <f>IF(D291="","",'Cost Rates'!$B$4)</f>
      </c>
      <c r="K291" s="11">
        <f>IF(D291="","",SUM(G291,H291,I291,J291))</f>
      </c>
      <c r="L291" s="11">
        <f>IF(D291="","",D291-K291)</f>
      </c>
      <c r="M291" s="12">
        <f>IF(OR(D291="",D291=0),"",L291/D291)</f>
      </c>
      <c r="N291" s="11">
        <f>IF((E291+F291)=0,"",ROUND(L291/((E291+F291)/60),2))</f>
      </c>
    </row>
    <row r="292">
      <c r="I292" s="11">
        <f>IF(E292="","",ROUND(((E292+F292)/60)*'Cost Rates'!$B$3,2))</f>
      </c>
      <c r="J292" s="11">
        <f>IF(D292="","",'Cost Rates'!$B$4)</f>
      </c>
      <c r="K292" s="11">
        <f>IF(D292="","",SUM(G292,H292,I292,J292))</f>
      </c>
      <c r="L292" s="11">
        <f>IF(D292="","",D292-K292)</f>
      </c>
      <c r="M292" s="12">
        <f>IF(OR(D292="",D292=0),"",L292/D292)</f>
      </c>
      <c r="N292" s="11">
        <f>IF((E292+F292)=0,"",ROUND(L292/((E292+F292)/60),2))</f>
      </c>
    </row>
    <row r="293">
      <c r="I293" s="11">
        <f>IF(E293="","",ROUND(((E293+F293)/60)*'Cost Rates'!$B$3,2))</f>
      </c>
      <c r="J293" s="11">
        <f>IF(D293="","",'Cost Rates'!$B$4)</f>
      </c>
      <c r="K293" s="11">
        <f>IF(D293="","",SUM(G293,H293,I293,J293))</f>
      </c>
      <c r="L293" s="11">
        <f>IF(D293="","",D293-K293)</f>
      </c>
      <c r="M293" s="12">
        <f>IF(OR(D293="",D293=0),"",L293/D293)</f>
      </c>
      <c r="N293" s="11">
        <f>IF((E293+F293)=0,"",ROUND(L293/((E293+F293)/60),2))</f>
      </c>
    </row>
    <row r="294">
      <c r="I294" s="11">
        <f>IF(E294="","",ROUND(((E294+F294)/60)*'Cost Rates'!$B$3,2))</f>
      </c>
      <c r="J294" s="11">
        <f>IF(D294="","",'Cost Rates'!$B$4)</f>
      </c>
      <c r="K294" s="11">
        <f>IF(D294="","",SUM(G294,H294,I294,J294))</f>
      </c>
      <c r="L294" s="11">
        <f>IF(D294="","",D294-K294)</f>
      </c>
      <c r="M294" s="12">
        <f>IF(OR(D294="",D294=0),"",L294/D294)</f>
      </c>
      <c r="N294" s="11">
        <f>IF((E294+F294)=0,"",ROUND(L294/((E294+F294)/60),2))</f>
      </c>
    </row>
    <row r="295">
      <c r="I295" s="11">
        <f>IF(E295="","",ROUND(((E295+F295)/60)*'Cost Rates'!$B$3,2))</f>
      </c>
      <c r="J295" s="11">
        <f>IF(D295="","",'Cost Rates'!$B$4)</f>
      </c>
      <c r="K295" s="11">
        <f>IF(D295="","",SUM(G295,H295,I295,J295))</f>
      </c>
      <c r="L295" s="11">
        <f>IF(D295="","",D295-K295)</f>
      </c>
      <c r="M295" s="12">
        <f>IF(OR(D295="",D295=0),"",L295/D295)</f>
      </c>
      <c r="N295" s="11">
        <f>IF((E295+F295)=0,"",ROUND(L295/((E295+F295)/60),2))</f>
      </c>
    </row>
    <row r="296">
      <c r="I296" s="11">
        <f>IF(E296="","",ROUND(((E296+F296)/60)*'Cost Rates'!$B$3,2))</f>
      </c>
      <c r="J296" s="11">
        <f>IF(D296="","",'Cost Rates'!$B$4)</f>
      </c>
      <c r="K296" s="11">
        <f>IF(D296="","",SUM(G296,H296,I296,J296))</f>
      </c>
      <c r="L296" s="11">
        <f>IF(D296="","",D296-K296)</f>
      </c>
      <c r="M296" s="12">
        <f>IF(OR(D296="",D296=0),"",L296/D296)</f>
      </c>
      <c r="N296" s="11">
        <f>IF((E296+F296)=0,"",ROUND(L296/((E296+F296)/60),2))</f>
      </c>
    </row>
    <row r="297">
      <c r="I297" s="11">
        <f>IF(E297="","",ROUND(((E297+F297)/60)*'Cost Rates'!$B$3,2))</f>
      </c>
      <c r="J297" s="11">
        <f>IF(D297="","",'Cost Rates'!$B$4)</f>
      </c>
      <c r="K297" s="11">
        <f>IF(D297="","",SUM(G297,H297,I297,J297))</f>
      </c>
      <c r="L297" s="11">
        <f>IF(D297="","",D297-K297)</f>
      </c>
      <c r="M297" s="12">
        <f>IF(OR(D297="",D297=0),"",L297/D297)</f>
      </c>
      <c r="N297" s="11">
        <f>IF((E297+F297)=0,"",ROUND(L297/((E297+F297)/60),2))</f>
      </c>
    </row>
    <row r="298">
      <c r="I298" s="11">
        <f>IF(E298="","",ROUND(((E298+F298)/60)*'Cost Rates'!$B$3,2))</f>
      </c>
      <c r="J298" s="11">
        <f>IF(D298="","",'Cost Rates'!$B$4)</f>
      </c>
      <c r="K298" s="11">
        <f>IF(D298="","",SUM(G298,H298,I298,J298))</f>
      </c>
      <c r="L298" s="11">
        <f>IF(D298="","",D298-K298)</f>
      </c>
      <c r="M298" s="12">
        <f>IF(OR(D298="",D298=0),"",L298/D298)</f>
      </c>
      <c r="N298" s="11">
        <f>IF((E298+F298)=0,"",ROUND(L298/((E298+F298)/60),2))</f>
      </c>
    </row>
    <row r="299">
      <c r="I299" s="11">
        <f>IF(E299="","",ROUND(((E299+F299)/60)*'Cost Rates'!$B$3,2))</f>
      </c>
      <c r="J299" s="11">
        <f>IF(D299="","",'Cost Rates'!$B$4)</f>
      </c>
      <c r="K299" s="11">
        <f>IF(D299="","",SUM(G299,H299,I299,J299))</f>
      </c>
      <c r="L299" s="11">
        <f>IF(D299="","",D299-K299)</f>
      </c>
      <c r="M299" s="12">
        <f>IF(OR(D299="",D299=0),"",L299/D299)</f>
      </c>
      <c r="N299" s="11">
        <f>IF((E299+F299)=0,"",ROUND(L299/((E299+F299)/60),2))</f>
      </c>
    </row>
    <row r="300">
      <c r="I300" s="11">
        <f>IF(E300="","",ROUND(((E300+F300)/60)*'Cost Rates'!$B$3,2))</f>
      </c>
      <c r="J300" s="11">
        <f>IF(D300="","",'Cost Rates'!$B$4)</f>
      </c>
      <c r="K300" s="11">
        <f>IF(D300="","",SUM(G300,H300,I300,J300))</f>
      </c>
      <c r="L300" s="11">
        <f>IF(D300="","",D300-K300)</f>
      </c>
      <c r="M300" s="12">
        <f>IF(OR(D300="",D300=0),"",L300/D300)</f>
      </c>
      <c r="N300" s="11">
        <f>IF((E300+F300)=0,"",ROUND(L300/((E300+F300)/60),2))</f>
      </c>
    </row>
    <row r="301">
      <c r="I301" s="11">
        <f>IF(E301="","",ROUND(((E301+F301)/60)*'Cost Rates'!$B$3,2))</f>
      </c>
      <c r="J301" s="11">
        <f>IF(D301="","",'Cost Rates'!$B$4)</f>
      </c>
      <c r="K301" s="11">
        <f>IF(D301="","",SUM(G301,H301,I301,J301))</f>
      </c>
      <c r="L301" s="11">
        <f>IF(D301="","",D301-K301)</f>
      </c>
      <c r="M301" s="12">
        <f>IF(OR(D301="",D301=0),"",L301/D301)</f>
      </c>
      <c r="N301" s="11">
        <f>IF((E301+F301)=0,"",ROUND(L301/((E301+F301)/60),2))</f>
      </c>
    </row>
    <row r="302">
      <c r="I302" s="11">
        <f>IF(E302="","",ROUND(((E302+F302)/60)*'Cost Rates'!$B$3,2))</f>
      </c>
      <c r="J302" s="11">
        <f>IF(D302="","",'Cost Rates'!$B$4)</f>
      </c>
      <c r="K302" s="11">
        <f>IF(D302="","",SUM(G302,H302,I302,J302))</f>
      </c>
      <c r="L302" s="11">
        <f>IF(D302="","",D302-K302)</f>
      </c>
      <c r="M302" s="12">
        <f>IF(OR(D302="",D302=0),"",L302/D302)</f>
      </c>
      <c r="N302" s="11">
        <f>IF((E302+F302)=0,"",ROUND(L302/((E302+F302)/60),2))</f>
      </c>
    </row>
    <row r="303">
      <c r="I303" s="11">
        <f>IF(E303="","",ROUND(((E303+F303)/60)*'Cost Rates'!$B$3,2))</f>
      </c>
      <c r="J303" s="11">
        <f>IF(D303="","",'Cost Rates'!$B$4)</f>
      </c>
      <c r="K303" s="11">
        <f>IF(D303="","",SUM(G303,H303,I303,J303))</f>
      </c>
      <c r="L303" s="11">
        <f>IF(D303="","",D303-K303)</f>
      </c>
      <c r="M303" s="12">
        <f>IF(OR(D303="",D303=0),"",L303/D303)</f>
      </c>
      <c r="N303" s="11">
        <f>IF((E303+F303)=0,"",ROUND(L303/((E303+F303)/60),2))</f>
      </c>
    </row>
    <row r="304">
      <c r="I304" s="11">
        <f>IF(E304="","",ROUND(((E304+F304)/60)*'Cost Rates'!$B$3,2))</f>
      </c>
      <c r="J304" s="11">
        <f>IF(D304="","",'Cost Rates'!$B$4)</f>
      </c>
      <c r="K304" s="11">
        <f>IF(D304="","",SUM(G304,H304,I304,J304))</f>
      </c>
      <c r="L304" s="11">
        <f>IF(D304="","",D304-K304)</f>
      </c>
      <c r="M304" s="12">
        <f>IF(OR(D304="",D304=0),"",L304/D304)</f>
      </c>
      <c r="N304" s="11">
        <f>IF((E304+F304)=0,"",ROUND(L304/((E304+F304)/60),2))</f>
      </c>
    </row>
    <row r="305">
      <c r="I305" s="11">
        <f>IF(E305="","",ROUND(((E305+F305)/60)*'Cost Rates'!$B$3,2))</f>
      </c>
      <c r="J305" s="11">
        <f>IF(D305="","",'Cost Rates'!$B$4)</f>
      </c>
      <c r="K305" s="11">
        <f>IF(D305="","",SUM(G305,H305,I305,J305))</f>
      </c>
      <c r="L305" s="11">
        <f>IF(D305="","",D305-K305)</f>
      </c>
      <c r="M305" s="12">
        <f>IF(OR(D305="",D305=0),"",L305/D305)</f>
      </c>
      <c r="N305" s="11">
        <f>IF((E305+F305)=0,"",ROUND(L305/((E305+F305)/60),2))</f>
      </c>
    </row>
    <row r="306">
      <c r="I306" s="11">
        <f>IF(E306="","",ROUND(((E306+F306)/60)*'Cost Rates'!$B$3,2))</f>
      </c>
      <c r="J306" s="11">
        <f>IF(D306="","",'Cost Rates'!$B$4)</f>
      </c>
      <c r="K306" s="11">
        <f>IF(D306="","",SUM(G306,H306,I306,J306))</f>
      </c>
      <c r="L306" s="11">
        <f>IF(D306="","",D306-K306)</f>
      </c>
      <c r="M306" s="12">
        <f>IF(OR(D306="",D306=0),"",L306/D306)</f>
      </c>
      <c r="N306" s="11">
        <f>IF((E306+F306)=0,"",ROUND(L306/((E306+F306)/60),2))</f>
      </c>
    </row>
    <row r="307">
      <c r="I307" s="11">
        <f>IF(E307="","",ROUND(((E307+F307)/60)*'Cost Rates'!$B$3,2))</f>
      </c>
      <c r="J307" s="11">
        <f>IF(D307="","",'Cost Rates'!$B$4)</f>
      </c>
      <c r="K307" s="11">
        <f>IF(D307="","",SUM(G307,H307,I307,J307))</f>
      </c>
      <c r="L307" s="11">
        <f>IF(D307="","",D307-K307)</f>
      </c>
      <c r="M307" s="12">
        <f>IF(OR(D307="",D307=0),"",L307/D307)</f>
      </c>
      <c r="N307" s="11">
        <f>IF((E307+F307)=0,"",ROUND(L307/((E307+F307)/60),2))</f>
      </c>
    </row>
    <row r="308">
      <c r="I308" s="11">
        <f>IF(E308="","",ROUND(((E308+F308)/60)*'Cost Rates'!$B$3,2))</f>
      </c>
      <c r="J308" s="11">
        <f>IF(D308="","",'Cost Rates'!$B$4)</f>
      </c>
      <c r="K308" s="11">
        <f>IF(D308="","",SUM(G308,H308,I308,J308))</f>
      </c>
      <c r="L308" s="11">
        <f>IF(D308="","",D308-K308)</f>
      </c>
      <c r="M308" s="12">
        <f>IF(OR(D308="",D308=0),"",L308/D308)</f>
      </c>
      <c r="N308" s="11">
        <f>IF((E308+F308)=0,"",ROUND(L308/((E308+F308)/60),2))</f>
      </c>
    </row>
    <row r="309">
      <c r="I309" s="11">
        <f>IF(E309="","",ROUND(((E309+F309)/60)*'Cost Rates'!$B$3,2))</f>
      </c>
      <c r="J309" s="11">
        <f>IF(D309="","",'Cost Rates'!$B$4)</f>
      </c>
      <c r="K309" s="11">
        <f>IF(D309="","",SUM(G309,H309,I309,J309))</f>
      </c>
      <c r="L309" s="11">
        <f>IF(D309="","",D309-K309)</f>
      </c>
      <c r="M309" s="12">
        <f>IF(OR(D309="",D309=0),"",L309/D309)</f>
      </c>
      <c r="N309" s="11">
        <f>IF((E309+F309)=0,"",ROUND(L309/((E309+F309)/60),2))</f>
      </c>
    </row>
    <row r="310">
      <c r="I310" s="11">
        <f>IF(E310="","",ROUND(((E310+F310)/60)*'Cost Rates'!$B$3,2))</f>
      </c>
      <c r="J310" s="11">
        <f>IF(D310="","",'Cost Rates'!$B$4)</f>
      </c>
      <c r="K310" s="11">
        <f>IF(D310="","",SUM(G310,H310,I310,J310))</f>
      </c>
      <c r="L310" s="11">
        <f>IF(D310="","",D310-K310)</f>
      </c>
      <c r="M310" s="12">
        <f>IF(OR(D310="",D310=0),"",L310/D310)</f>
      </c>
      <c r="N310" s="11">
        <f>IF((E310+F310)=0,"",ROUND(L310/((E310+F310)/60),2))</f>
      </c>
    </row>
    <row r="311">
      <c r="I311" s="11">
        <f>IF(E311="","",ROUND(((E311+F311)/60)*'Cost Rates'!$B$3,2))</f>
      </c>
      <c r="J311" s="11">
        <f>IF(D311="","",'Cost Rates'!$B$4)</f>
      </c>
      <c r="K311" s="11">
        <f>IF(D311="","",SUM(G311,H311,I311,J311))</f>
      </c>
      <c r="L311" s="11">
        <f>IF(D311="","",D311-K311)</f>
      </c>
      <c r="M311" s="12">
        <f>IF(OR(D311="",D311=0),"",L311/D311)</f>
      </c>
      <c r="N311" s="11">
        <f>IF((E311+F311)=0,"",ROUND(L311/((E311+F311)/60),2))</f>
      </c>
    </row>
    <row r="312">
      <c r="I312" s="11">
        <f>IF(E312="","",ROUND(((E312+F312)/60)*'Cost Rates'!$B$3,2))</f>
      </c>
      <c r="J312" s="11">
        <f>IF(D312="","",'Cost Rates'!$B$4)</f>
      </c>
      <c r="K312" s="11">
        <f>IF(D312="","",SUM(G312,H312,I312,J312))</f>
      </c>
      <c r="L312" s="11">
        <f>IF(D312="","",D312-K312)</f>
      </c>
      <c r="M312" s="12">
        <f>IF(OR(D312="",D312=0),"",L312/D312)</f>
      </c>
      <c r="N312" s="11">
        <f>IF((E312+F312)=0,"",ROUND(L312/((E312+F312)/60),2))</f>
      </c>
    </row>
    <row r="313">
      <c r="I313" s="11">
        <f>IF(E313="","",ROUND(((E313+F313)/60)*'Cost Rates'!$B$3,2))</f>
      </c>
      <c r="J313" s="11">
        <f>IF(D313="","",'Cost Rates'!$B$4)</f>
      </c>
      <c r="K313" s="11">
        <f>IF(D313="","",SUM(G313,H313,I313,J313))</f>
      </c>
      <c r="L313" s="11">
        <f>IF(D313="","",D313-K313)</f>
      </c>
      <c r="M313" s="12">
        <f>IF(OR(D313="",D313=0),"",L313/D313)</f>
      </c>
      <c r="N313" s="11">
        <f>IF((E313+F313)=0,"",ROUND(L313/((E313+F313)/60),2))</f>
      </c>
    </row>
    <row r="314">
      <c r="I314" s="11">
        <f>IF(E314="","",ROUND(((E314+F314)/60)*'Cost Rates'!$B$3,2))</f>
      </c>
      <c r="J314" s="11">
        <f>IF(D314="","",'Cost Rates'!$B$4)</f>
      </c>
      <c r="K314" s="11">
        <f>IF(D314="","",SUM(G314,H314,I314,J314))</f>
      </c>
      <c r="L314" s="11">
        <f>IF(D314="","",D314-K314)</f>
      </c>
      <c r="M314" s="12">
        <f>IF(OR(D314="",D314=0),"",L314/D314)</f>
      </c>
      <c r="N314" s="11">
        <f>IF((E314+F314)=0,"",ROUND(L314/((E314+F314)/60),2))</f>
      </c>
    </row>
    <row r="315">
      <c r="I315" s="11">
        <f>IF(E315="","",ROUND(((E315+F315)/60)*'Cost Rates'!$B$3,2))</f>
      </c>
      <c r="J315" s="11">
        <f>IF(D315="","",'Cost Rates'!$B$4)</f>
      </c>
      <c r="K315" s="11">
        <f>IF(D315="","",SUM(G315,H315,I315,J315))</f>
      </c>
      <c r="L315" s="11">
        <f>IF(D315="","",D315-K315)</f>
      </c>
      <c r="M315" s="12">
        <f>IF(OR(D315="",D315=0),"",L315/D315)</f>
      </c>
      <c r="N315" s="11">
        <f>IF((E315+F315)=0,"",ROUND(L315/((E315+F315)/60),2))</f>
      </c>
    </row>
    <row r="316">
      <c r="I316" s="11">
        <f>IF(E316="","",ROUND(((E316+F316)/60)*'Cost Rates'!$B$3,2))</f>
      </c>
      <c r="J316" s="11">
        <f>IF(D316="","",'Cost Rates'!$B$4)</f>
      </c>
      <c r="K316" s="11">
        <f>IF(D316="","",SUM(G316,H316,I316,J316))</f>
      </c>
      <c r="L316" s="11">
        <f>IF(D316="","",D316-K316)</f>
      </c>
      <c r="M316" s="12">
        <f>IF(OR(D316="",D316=0),"",L316/D316)</f>
      </c>
      <c r="N316" s="11">
        <f>IF((E316+F316)=0,"",ROUND(L316/((E316+F316)/60),2))</f>
      </c>
    </row>
    <row r="317">
      <c r="I317" s="11">
        <f>IF(E317="","",ROUND(((E317+F317)/60)*'Cost Rates'!$B$3,2))</f>
      </c>
      <c r="J317" s="11">
        <f>IF(D317="","",'Cost Rates'!$B$4)</f>
      </c>
      <c r="K317" s="11">
        <f>IF(D317="","",SUM(G317,H317,I317,J317))</f>
      </c>
      <c r="L317" s="11">
        <f>IF(D317="","",D317-K317)</f>
      </c>
      <c r="M317" s="12">
        <f>IF(OR(D317="",D317=0),"",L317/D317)</f>
      </c>
      <c r="N317" s="11">
        <f>IF((E317+F317)=0,"",ROUND(L317/((E317+F317)/60),2))</f>
      </c>
    </row>
    <row r="318">
      <c r="I318" s="11">
        <f>IF(E318="","",ROUND(((E318+F318)/60)*'Cost Rates'!$B$3,2))</f>
      </c>
      <c r="J318" s="11">
        <f>IF(D318="","",'Cost Rates'!$B$4)</f>
      </c>
      <c r="K318" s="11">
        <f>IF(D318="","",SUM(G318,H318,I318,J318))</f>
      </c>
      <c r="L318" s="11">
        <f>IF(D318="","",D318-K318)</f>
      </c>
      <c r="M318" s="12">
        <f>IF(OR(D318="",D318=0),"",L318/D318)</f>
      </c>
      <c r="N318" s="11">
        <f>IF((E318+F318)=0,"",ROUND(L318/((E318+F318)/60),2))</f>
      </c>
    </row>
    <row r="319">
      <c r="I319" s="11">
        <f>IF(E319="","",ROUND(((E319+F319)/60)*'Cost Rates'!$B$3,2))</f>
      </c>
      <c r="J319" s="11">
        <f>IF(D319="","",'Cost Rates'!$B$4)</f>
      </c>
      <c r="K319" s="11">
        <f>IF(D319="","",SUM(G319,H319,I319,J319))</f>
      </c>
      <c r="L319" s="11">
        <f>IF(D319="","",D319-K319)</f>
      </c>
      <c r="M319" s="12">
        <f>IF(OR(D319="",D319=0),"",L319/D319)</f>
      </c>
      <c r="N319" s="11">
        <f>IF((E319+F319)=0,"",ROUND(L319/((E319+F319)/60),2))</f>
      </c>
    </row>
    <row r="320">
      <c r="I320" s="11">
        <f>IF(E320="","",ROUND(((E320+F320)/60)*'Cost Rates'!$B$3,2))</f>
      </c>
      <c r="J320" s="11">
        <f>IF(D320="","",'Cost Rates'!$B$4)</f>
      </c>
      <c r="K320" s="11">
        <f>IF(D320="","",SUM(G320,H320,I320,J320))</f>
      </c>
      <c r="L320" s="11">
        <f>IF(D320="","",D320-K320)</f>
      </c>
      <c r="M320" s="12">
        <f>IF(OR(D320="",D320=0),"",L320/D320)</f>
      </c>
      <c r="N320" s="11">
        <f>IF((E320+F320)=0,"",ROUND(L320/((E320+F320)/60),2))</f>
      </c>
    </row>
    <row r="321">
      <c r="I321" s="11">
        <f>IF(E321="","",ROUND(((E321+F321)/60)*'Cost Rates'!$B$3,2))</f>
      </c>
      <c r="J321" s="11">
        <f>IF(D321="","",'Cost Rates'!$B$4)</f>
      </c>
      <c r="K321" s="11">
        <f>IF(D321="","",SUM(G321,H321,I321,J321))</f>
      </c>
      <c r="L321" s="11">
        <f>IF(D321="","",D321-K321)</f>
      </c>
      <c r="M321" s="12">
        <f>IF(OR(D321="",D321=0),"",L321/D321)</f>
      </c>
      <c r="N321" s="11">
        <f>IF((E321+F321)=0,"",ROUND(L321/((E321+F321)/60),2))</f>
      </c>
    </row>
    <row r="322">
      <c r="I322" s="11">
        <f>IF(E322="","",ROUND(((E322+F322)/60)*'Cost Rates'!$B$3,2))</f>
      </c>
      <c r="J322" s="11">
        <f>IF(D322="","",'Cost Rates'!$B$4)</f>
      </c>
      <c r="K322" s="11">
        <f>IF(D322="","",SUM(G322,H322,I322,J322))</f>
      </c>
      <c r="L322" s="11">
        <f>IF(D322="","",D322-K322)</f>
      </c>
      <c r="M322" s="12">
        <f>IF(OR(D322="",D322=0),"",L322/D322)</f>
      </c>
      <c r="N322" s="11">
        <f>IF((E322+F322)=0,"",ROUND(L322/((E322+F322)/60),2))</f>
      </c>
    </row>
    <row r="323">
      <c r="I323" s="11">
        <f>IF(E323="","",ROUND(((E323+F323)/60)*'Cost Rates'!$B$3,2))</f>
      </c>
      <c r="J323" s="11">
        <f>IF(D323="","",'Cost Rates'!$B$4)</f>
      </c>
      <c r="K323" s="11">
        <f>IF(D323="","",SUM(G323,H323,I323,J323))</f>
      </c>
      <c r="L323" s="11">
        <f>IF(D323="","",D323-K323)</f>
      </c>
      <c r="M323" s="12">
        <f>IF(OR(D323="",D323=0),"",L323/D323)</f>
      </c>
      <c r="N323" s="11">
        <f>IF((E323+F323)=0,"",ROUND(L323/((E323+F323)/60),2))</f>
      </c>
    </row>
    <row r="324">
      <c r="I324" s="11">
        <f>IF(E324="","",ROUND(((E324+F324)/60)*'Cost Rates'!$B$3,2))</f>
      </c>
      <c r="J324" s="11">
        <f>IF(D324="","",'Cost Rates'!$B$4)</f>
      </c>
      <c r="K324" s="11">
        <f>IF(D324="","",SUM(G324,H324,I324,J324))</f>
      </c>
      <c r="L324" s="11">
        <f>IF(D324="","",D324-K324)</f>
      </c>
      <c r="M324" s="12">
        <f>IF(OR(D324="",D324=0),"",L324/D324)</f>
      </c>
      <c r="N324" s="11">
        <f>IF((E324+F324)=0,"",ROUND(L324/((E324+F324)/60),2))</f>
      </c>
    </row>
    <row r="325">
      <c r="I325" s="11">
        <f>IF(E325="","",ROUND(((E325+F325)/60)*'Cost Rates'!$B$3,2))</f>
      </c>
      <c r="J325" s="11">
        <f>IF(D325="","",'Cost Rates'!$B$4)</f>
      </c>
      <c r="K325" s="11">
        <f>IF(D325="","",SUM(G325,H325,I325,J325))</f>
      </c>
      <c r="L325" s="11">
        <f>IF(D325="","",D325-K325)</f>
      </c>
      <c r="M325" s="12">
        <f>IF(OR(D325="",D325=0),"",L325/D325)</f>
      </c>
      <c r="N325" s="11">
        <f>IF((E325+F325)=0,"",ROUND(L325/((E325+F325)/60),2))</f>
      </c>
    </row>
    <row r="326">
      <c r="I326" s="11">
        <f>IF(E326="","",ROUND(((E326+F326)/60)*'Cost Rates'!$B$3,2))</f>
      </c>
      <c r="J326" s="11">
        <f>IF(D326="","",'Cost Rates'!$B$4)</f>
      </c>
      <c r="K326" s="11">
        <f>IF(D326="","",SUM(G326,H326,I326,J326))</f>
      </c>
      <c r="L326" s="11">
        <f>IF(D326="","",D326-K326)</f>
      </c>
      <c r="M326" s="12">
        <f>IF(OR(D326="",D326=0),"",L326/D326)</f>
      </c>
      <c r="N326" s="11">
        <f>IF((E326+F326)=0,"",ROUND(L326/((E326+F326)/60),2))</f>
      </c>
    </row>
    <row r="327">
      <c r="I327" s="11">
        <f>IF(E327="","",ROUND(((E327+F327)/60)*'Cost Rates'!$B$3,2))</f>
      </c>
      <c r="J327" s="11">
        <f>IF(D327="","",'Cost Rates'!$B$4)</f>
      </c>
      <c r="K327" s="11">
        <f>IF(D327="","",SUM(G327,H327,I327,J327))</f>
      </c>
      <c r="L327" s="11">
        <f>IF(D327="","",D327-K327)</f>
      </c>
      <c r="M327" s="12">
        <f>IF(OR(D327="",D327=0),"",L327/D327)</f>
      </c>
      <c r="N327" s="11">
        <f>IF((E327+F327)=0,"",ROUND(L327/((E327+F327)/60),2))</f>
      </c>
    </row>
    <row r="328">
      <c r="I328" s="11">
        <f>IF(E328="","",ROUND(((E328+F328)/60)*'Cost Rates'!$B$3,2))</f>
      </c>
      <c r="J328" s="11">
        <f>IF(D328="","",'Cost Rates'!$B$4)</f>
      </c>
      <c r="K328" s="11">
        <f>IF(D328="","",SUM(G328,H328,I328,J328))</f>
      </c>
      <c r="L328" s="11">
        <f>IF(D328="","",D328-K328)</f>
      </c>
      <c r="M328" s="12">
        <f>IF(OR(D328="",D328=0),"",L328/D328)</f>
      </c>
      <c r="N328" s="11">
        <f>IF((E328+F328)=0,"",ROUND(L328/((E328+F328)/60),2))</f>
      </c>
    </row>
    <row r="329">
      <c r="I329" s="11">
        <f>IF(E329="","",ROUND(((E329+F329)/60)*'Cost Rates'!$B$3,2))</f>
      </c>
      <c r="J329" s="11">
        <f>IF(D329="","",'Cost Rates'!$B$4)</f>
      </c>
      <c r="K329" s="11">
        <f>IF(D329="","",SUM(G329,H329,I329,J329))</f>
      </c>
      <c r="L329" s="11">
        <f>IF(D329="","",D329-K329)</f>
      </c>
      <c r="M329" s="12">
        <f>IF(OR(D329="",D329=0),"",L329/D329)</f>
      </c>
      <c r="N329" s="11">
        <f>IF((E329+F329)=0,"",ROUND(L329/((E329+F329)/60),2))</f>
      </c>
    </row>
    <row r="330">
      <c r="I330" s="11">
        <f>IF(E330="","",ROUND(((E330+F330)/60)*'Cost Rates'!$B$3,2))</f>
      </c>
      <c r="J330" s="11">
        <f>IF(D330="","",'Cost Rates'!$B$4)</f>
      </c>
      <c r="K330" s="11">
        <f>IF(D330="","",SUM(G330,H330,I330,J330))</f>
      </c>
      <c r="L330" s="11">
        <f>IF(D330="","",D330-K330)</f>
      </c>
      <c r="M330" s="12">
        <f>IF(OR(D330="",D330=0),"",L330/D330)</f>
      </c>
      <c r="N330" s="11">
        <f>IF((E330+F330)=0,"",ROUND(L330/((E330+F330)/60),2))</f>
      </c>
    </row>
    <row r="331">
      <c r="I331" s="11">
        <f>IF(E331="","",ROUND(((E331+F331)/60)*'Cost Rates'!$B$3,2))</f>
      </c>
      <c r="J331" s="11">
        <f>IF(D331="","",'Cost Rates'!$B$4)</f>
      </c>
      <c r="K331" s="11">
        <f>IF(D331="","",SUM(G331,H331,I331,J331))</f>
      </c>
      <c r="L331" s="11">
        <f>IF(D331="","",D331-K331)</f>
      </c>
      <c r="M331" s="12">
        <f>IF(OR(D331="",D331=0),"",L331/D331)</f>
      </c>
      <c r="N331" s="11">
        <f>IF((E331+F331)=0,"",ROUND(L331/((E331+F331)/60),2))</f>
      </c>
    </row>
    <row r="332">
      <c r="I332" s="11">
        <f>IF(E332="","",ROUND(((E332+F332)/60)*'Cost Rates'!$B$3,2))</f>
      </c>
      <c r="J332" s="11">
        <f>IF(D332="","",'Cost Rates'!$B$4)</f>
      </c>
      <c r="K332" s="11">
        <f>IF(D332="","",SUM(G332,H332,I332,J332))</f>
      </c>
      <c r="L332" s="11">
        <f>IF(D332="","",D332-K332)</f>
      </c>
      <c r="M332" s="12">
        <f>IF(OR(D332="",D332=0),"",L332/D332)</f>
      </c>
      <c r="N332" s="11">
        <f>IF((E332+F332)=0,"",ROUND(L332/((E332+F332)/60),2))</f>
      </c>
    </row>
    <row r="333">
      <c r="I333" s="11">
        <f>IF(E333="","",ROUND(((E333+F333)/60)*'Cost Rates'!$B$3,2))</f>
      </c>
      <c r="J333" s="11">
        <f>IF(D333="","",'Cost Rates'!$B$4)</f>
      </c>
      <c r="K333" s="11">
        <f>IF(D333="","",SUM(G333,H333,I333,J333))</f>
      </c>
      <c r="L333" s="11">
        <f>IF(D333="","",D333-K333)</f>
      </c>
      <c r="M333" s="12">
        <f>IF(OR(D333="",D333=0),"",L333/D333)</f>
      </c>
      <c r="N333" s="11">
        <f>IF((E333+F333)=0,"",ROUND(L333/((E333+F333)/60),2))</f>
      </c>
    </row>
    <row r="334">
      <c r="I334" s="11">
        <f>IF(E334="","",ROUND(((E334+F334)/60)*'Cost Rates'!$B$3,2))</f>
      </c>
      <c r="J334" s="11">
        <f>IF(D334="","",'Cost Rates'!$B$4)</f>
      </c>
      <c r="K334" s="11">
        <f>IF(D334="","",SUM(G334,H334,I334,J334))</f>
      </c>
      <c r="L334" s="11">
        <f>IF(D334="","",D334-K334)</f>
      </c>
      <c r="M334" s="12">
        <f>IF(OR(D334="",D334=0),"",L334/D334)</f>
      </c>
      <c r="N334" s="11">
        <f>IF((E334+F334)=0,"",ROUND(L334/((E334+F334)/60),2))</f>
      </c>
    </row>
    <row r="335">
      <c r="I335" s="11">
        <f>IF(E335="","",ROUND(((E335+F335)/60)*'Cost Rates'!$B$3,2))</f>
      </c>
      <c r="J335" s="11">
        <f>IF(D335="","",'Cost Rates'!$B$4)</f>
      </c>
      <c r="K335" s="11">
        <f>IF(D335="","",SUM(G335,H335,I335,J335))</f>
      </c>
      <c r="L335" s="11">
        <f>IF(D335="","",D335-K335)</f>
      </c>
      <c r="M335" s="12">
        <f>IF(OR(D335="",D335=0),"",L335/D335)</f>
      </c>
      <c r="N335" s="11">
        <f>IF((E335+F335)=0,"",ROUND(L335/((E335+F335)/60),2))</f>
      </c>
    </row>
    <row r="336">
      <c r="I336" s="11">
        <f>IF(E336="","",ROUND(((E336+F336)/60)*'Cost Rates'!$B$3,2))</f>
      </c>
      <c r="J336" s="11">
        <f>IF(D336="","",'Cost Rates'!$B$4)</f>
      </c>
      <c r="K336" s="11">
        <f>IF(D336="","",SUM(G336,H336,I336,J336))</f>
      </c>
      <c r="L336" s="11">
        <f>IF(D336="","",D336-K336)</f>
      </c>
      <c r="M336" s="12">
        <f>IF(OR(D336="",D336=0),"",L336/D336)</f>
      </c>
      <c r="N336" s="11">
        <f>IF((E336+F336)=0,"",ROUND(L336/((E336+F336)/60),2))</f>
      </c>
    </row>
    <row r="337">
      <c r="I337" s="11">
        <f>IF(E337="","",ROUND(((E337+F337)/60)*'Cost Rates'!$B$3,2))</f>
      </c>
      <c r="J337" s="11">
        <f>IF(D337="","",'Cost Rates'!$B$4)</f>
      </c>
      <c r="K337" s="11">
        <f>IF(D337="","",SUM(G337,H337,I337,J337))</f>
      </c>
      <c r="L337" s="11">
        <f>IF(D337="","",D337-K337)</f>
      </c>
      <c r="M337" s="12">
        <f>IF(OR(D337="",D337=0),"",L337/D337)</f>
      </c>
      <c r="N337" s="11">
        <f>IF((E337+F337)=0,"",ROUND(L337/((E337+F337)/60),2))</f>
      </c>
    </row>
    <row r="338">
      <c r="I338" s="11">
        <f>IF(E338="","",ROUND(((E338+F338)/60)*'Cost Rates'!$B$3,2))</f>
      </c>
      <c r="J338" s="11">
        <f>IF(D338="","",'Cost Rates'!$B$4)</f>
      </c>
      <c r="K338" s="11">
        <f>IF(D338="","",SUM(G338,H338,I338,J338))</f>
      </c>
      <c r="L338" s="11">
        <f>IF(D338="","",D338-K338)</f>
      </c>
      <c r="M338" s="12">
        <f>IF(OR(D338="",D338=0),"",L338/D338)</f>
      </c>
      <c r="N338" s="11">
        <f>IF((E338+F338)=0,"",ROUND(L338/((E338+F338)/60),2))</f>
      </c>
    </row>
    <row r="339">
      <c r="I339" s="11">
        <f>IF(E339="","",ROUND(((E339+F339)/60)*'Cost Rates'!$B$3,2))</f>
      </c>
      <c r="J339" s="11">
        <f>IF(D339="","",'Cost Rates'!$B$4)</f>
      </c>
      <c r="K339" s="11">
        <f>IF(D339="","",SUM(G339,H339,I339,J339))</f>
      </c>
      <c r="L339" s="11">
        <f>IF(D339="","",D339-K339)</f>
      </c>
      <c r="M339" s="12">
        <f>IF(OR(D339="",D339=0),"",L339/D339)</f>
      </c>
      <c r="N339" s="11">
        <f>IF((E339+F339)=0,"",ROUND(L339/((E339+F339)/60),2))</f>
      </c>
    </row>
    <row r="340">
      <c r="I340" s="11">
        <f>IF(E340="","",ROUND(((E340+F340)/60)*'Cost Rates'!$B$3,2))</f>
      </c>
      <c r="J340" s="11">
        <f>IF(D340="","",'Cost Rates'!$B$4)</f>
      </c>
      <c r="K340" s="11">
        <f>IF(D340="","",SUM(G340,H340,I340,J340))</f>
      </c>
      <c r="L340" s="11">
        <f>IF(D340="","",D340-K340)</f>
      </c>
      <c r="M340" s="12">
        <f>IF(OR(D340="",D340=0),"",L340/D340)</f>
      </c>
      <c r="N340" s="11">
        <f>IF((E340+F340)=0,"",ROUND(L340/((E340+F340)/60),2))</f>
      </c>
    </row>
    <row r="341">
      <c r="I341" s="11">
        <f>IF(E341="","",ROUND(((E341+F341)/60)*'Cost Rates'!$B$3,2))</f>
      </c>
      <c r="J341" s="11">
        <f>IF(D341="","",'Cost Rates'!$B$4)</f>
      </c>
      <c r="K341" s="11">
        <f>IF(D341="","",SUM(G341,H341,I341,J341))</f>
      </c>
      <c r="L341" s="11">
        <f>IF(D341="","",D341-K341)</f>
      </c>
      <c r="M341" s="12">
        <f>IF(OR(D341="",D341=0),"",L341/D341)</f>
      </c>
      <c r="N341" s="11">
        <f>IF((E341+F341)=0,"",ROUND(L341/((E341+F341)/60),2))</f>
      </c>
    </row>
    <row r="342">
      <c r="I342" s="11">
        <f>IF(E342="","",ROUND(((E342+F342)/60)*'Cost Rates'!$B$3,2))</f>
      </c>
      <c r="J342" s="11">
        <f>IF(D342="","",'Cost Rates'!$B$4)</f>
      </c>
      <c r="K342" s="11">
        <f>IF(D342="","",SUM(G342,H342,I342,J342))</f>
      </c>
      <c r="L342" s="11">
        <f>IF(D342="","",D342-K342)</f>
      </c>
      <c r="M342" s="12">
        <f>IF(OR(D342="",D342=0),"",L342/D342)</f>
      </c>
      <c r="N342" s="11">
        <f>IF((E342+F342)=0,"",ROUND(L342/((E342+F342)/60),2))</f>
      </c>
    </row>
    <row r="343">
      <c r="I343" s="11">
        <f>IF(E343="","",ROUND(((E343+F343)/60)*'Cost Rates'!$B$3,2))</f>
      </c>
      <c r="J343" s="11">
        <f>IF(D343="","",'Cost Rates'!$B$4)</f>
      </c>
      <c r="K343" s="11">
        <f>IF(D343="","",SUM(G343,H343,I343,J343))</f>
      </c>
      <c r="L343" s="11">
        <f>IF(D343="","",D343-K343)</f>
      </c>
      <c r="M343" s="12">
        <f>IF(OR(D343="",D343=0),"",L343/D343)</f>
      </c>
      <c r="N343" s="11">
        <f>IF((E343+F343)=0,"",ROUND(L343/((E343+F343)/60),2))</f>
      </c>
    </row>
    <row r="344">
      <c r="I344" s="11">
        <f>IF(E344="","",ROUND(((E344+F344)/60)*'Cost Rates'!$B$3,2))</f>
      </c>
      <c r="J344" s="11">
        <f>IF(D344="","",'Cost Rates'!$B$4)</f>
      </c>
      <c r="K344" s="11">
        <f>IF(D344="","",SUM(G344,H344,I344,J344))</f>
      </c>
      <c r="L344" s="11">
        <f>IF(D344="","",D344-K344)</f>
      </c>
      <c r="M344" s="12">
        <f>IF(OR(D344="",D344=0),"",L344/D344)</f>
      </c>
      <c r="N344" s="11">
        <f>IF((E344+F344)=0,"",ROUND(L344/((E344+F344)/60),2))</f>
      </c>
    </row>
    <row r="345">
      <c r="I345" s="11">
        <f>IF(E345="","",ROUND(((E345+F345)/60)*'Cost Rates'!$B$3,2))</f>
      </c>
      <c r="J345" s="11">
        <f>IF(D345="","",'Cost Rates'!$B$4)</f>
      </c>
      <c r="K345" s="11">
        <f>IF(D345="","",SUM(G345,H345,I345,J345))</f>
      </c>
      <c r="L345" s="11">
        <f>IF(D345="","",D345-K345)</f>
      </c>
      <c r="M345" s="12">
        <f>IF(OR(D345="",D345=0),"",L345/D345)</f>
      </c>
      <c r="N345" s="11">
        <f>IF((E345+F345)=0,"",ROUND(L345/((E345+F345)/60),2))</f>
      </c>
    </row>
    <row r="346">
      <c r="I346" s="11">
        <f>IF(E346="","",ROUND(((E346+F346)/60)*'Cost Rates'!$B$3,2))</f>
      </c>
      <c r="J346" s="11">
        <f>IF(D346="","",'Cost Rates'!$B$4)</f>
      </c>
      <c r="K346" s="11">
        <f>IF(D346="","",SUM(G346,H346,I346,J346))</f>
      </c>
      <c r="L346" s="11">
        <f>IF(D346="","",D346-K346)</f>
      </c>
      <c r="M346" s="12">
        <f>IF(OR(D346="",D346=0),"",L346/D346)</f>
      </c>
      <c r="N346" s="11">
        <f>IF((E346+F346)=0,"",ROUND(L346/((E346+F346)/60),2))</f>
      </c>
    </row>
    <row r="347">
      <c r="I347" s="11">
        <f>IF(E347="","",ROUND(((E347+F347)/60)*'Cost Rates'!$B$3,2))</f>
      </c>
      <c r="J347" s="11">
        <f>IF(D347="","",'Cost Rates'!$B$4)</f>
      </c>
      <c r="K347" s="11">
        <f>IF(D347="","",SUM(G347,H347,I347,J347))</f>
      </c>
      <c r="L347" s="11">
        <f>IF(D347="","",D347-K347)</f>
      </c>
      <c r="M347" s="12">
        <f>IF(OR(D347="",D347=0),"",L347/D347)</f>
      </c>
      <c r="N347" s="11">
        <f>IF((E347+F347)=0,"",ROUND(L347/((E347+F347)/60),2))</f>
      </c>
    </row>
    <row r="348">
      <c r="I348" s="11">
        <f>IF(E348="","",ROUND(((E348+F348)/60)*'Cost Rates'!$B$3,2))</f>
      </c>
      <c r="J348" s="11">
        <f>IF(D348="","",'Cost Rates'!$B$4)</f>
      </c>
      <c r="K348" s="11">
        <f>IF(D348="","",SUM(G348,H348,I348,J348))</f>
      </c>
      <c r="L348" s="11">
        <f>IF(D348="","",D348-K348)</f>
      </c>
      <c r="M348" s="12">
        <f>IF(OR(D348="",D348=0),"",L348/D348)</f>
      </c>
      <c r="N348" s="11">
        <f>IF((E348+F348)=0,"",ROUND(L348/((E348+F348)/60),2))</f>
      </c>
    </row>
    <row r="349">
      <c r="I349" s="11">
        <f>IF(E349="","",ROUND(((E349+F349)/60)*'Cost Rates'!$B$3,2))</f>
      </c>
      <c r="J349" s="11">
        <f>IF(D349="","",'Cost Rates'!$B$4)</f>
      </c>
      <c r="K349" s="11">
        <f>IF(D349="","",SUM(G349,H349,I349,J349))</f>
      </c>
      <c r="L349" s="11">
        <f>IF(D349="","",D349-K349)</f>
      </c>
      <c r="M349" s="12">
        <f>IF(OR(D349="",D349=0),"",L349/D349)</f>
      </c>
      <c r="N349" s="11">
        <f>IF((E349+F349)=0,"",ROUND(L349/((E349+F349)/60),2))</f>
      </c>
    </row>
    <row r="350">
      <c r="I350" s="11">
        <f>IF(E350="","",ROUND(((E350+F350)/60)*'Cost Rates'!$B$3,2))</f>
      </c>
      <c r="J350" s="11">
        <f>IF(D350="","",'Cost Rates'!$B$4)</f>
      </c>
      <c r="K350" s="11">
        <f>IF(D350="","",SUM(G350,H350,I350,J350))</f>
      </c>
      <c r="L350" s="11">
        <f>IF(D350="","",D350-K350)</f>
      </c>
      <c r="M350" s="12">
        <f>IF(OR(D350="",D350=0),"",L350/D350)</f>
      </c>
      <c r="N350" s="11">
        <f>IF((E350+F350)=0,"",ROUND(L350/((E350+F350)/60),2))</f>
      </c>
    </row>
    <row r="351">
      <c r="I351" s="11">
        <f>IF(E351="","",ROUND(((E351+F351)/60)*'Cost Rates'!$B$3,2))</f>
      </c>
      <c r="J351" s="11">
        <f>IF(D351="","",'Cost Rates'!$B$4)</f>
      </c>
      <c r="K351" s="11">
        <f>IF(D351="","",SUM(G351,H351,I351,J351))</f>
      </c>
      <c r="L351" s="11">
        <f>IF(D351="","",D351-K351)</f>
      </c>
      <c r="M351" s="12">
        <f>IF(OR(D351="",D351=0),"",L351/D351)</f>
      </c>
      <c r="N351" s="11">
        <f>IF((E351+F351)=0,"",ROUND(L351/((E351+F351)/60),2))</f>
      </c>
    </row>
    <row r="352">
      <c r="I352" s="11">
        <f>IF(E352="","",ROUND(((E352+F352)/60)*'Cost Rates'!$B$3,2))</f>
      </c>
      <c r="J352" s="11">
        <f>IF(D352="","",'Cost Rates'!$B$4)</f>
      </c>
      <c r="K352" s="11">
        <f>IF(D352="","",SUM(G352,H352,I352,J352))</f>
      </c>
      <c r="L352" s="11">
        <f>IF(D352="","",D352-K352)</f>
      </c>
      <c r="M352" s="12">
        <f>IF(OR(D352="",D352=0),"",L352/D352)</f>
      </c>
      <c r="N352" s="11">
        <f>IF((E352+F352)=0,"",ROUND(L352/((E352+F352)/60),2))</f>
      </c>
    </row>
    <row r="353">
      <c r="I353" s="11">
        <f>IF(E353="","",ROUND(((E353+F353)/60)*'Cost Rates'!$B$3,2))</f>
      </c>
      <c r="J353" s="11">
        <f>IF(D353="","",'Cost Rates'!$B$4)</f>
      </c>
      <c r="K353" s="11">
        <f>IF(D353="","",SUM(G353,H353,I353,J353))</f>
      </c>
      <c r="L353" s="11">
        <f>IF(D353="","",D353-K353)</f>
      </c>
      <c r="M353" s="12">
        <f>IF(OR(D353="",D353=0),"",L353/D353)</f>
      </c>
      <c r="N353" s="11">
        <f>IF((E353+F353)=0,"",ROUND(L353/((E353+F353)/60),2))</f>
      </c>
    </row>
    <row r="354">
      <c r="I354" s="11">
        <f>IF(E354="","",ROUND(((E354+F354)/60)*'Cost Rates'!$B$3,2))</f>
      </c>
      <c r="J354" s="11">
        <f>IF(D354="","",'Cost Rates'!$B$4)</f>
      </c>
      <c r="K354" s="11">
        <f>IF(D354="","",SUM(G354,H354,I354,J354))</f>
      </c>
      <c r="L354" s="11">
        <f>IF(D354="","",D354-K354)</f>
      </c>
      <c r="M354" s="12">
        <f>IF(OR(D354="",D354=0),"",L354/D354)</f>
      </c>
      <c r="N354" s="11">
        <f>IF((E354+F354)=0,"",ROUND(L354/((E354+F354)/60),2))</f>
      </c>
    </row>
    <row r="355">
      <c r="I355" s="11">
        <f>IF(E355="","",ROUND(((E355+F355)/60)*'Cost Rates'!$B$3,2))</f>
      </c>
      <c r="J355" s="11">
        <f>IF(D355="","",'Cost Rates'!$B$4)</f>
      </c>
      <c r="K355" s="11">
        <f>IF(D355="","",SUM(G355,H355,I355,J355))</f>
      </c>
      <c r="L355" s="11">
        <f>IF(D355="","",D355-K355)</f>
      </c>
      <c r="M355" s="12">
        <f>IF(OR(D355="",D355=0),"",L355/D355)</f>
      </c>
      <c r="N355" s="11">
        <f>IF((E355+F355)=0,"",ROUND(L355/((E355+F355)/60),2))</f>
      </c>
    </row>
    <row r="356">
      <c r="I356" s="11">
        <f>IF(E356="","",ROUND(((E356+F356)/60)*'Cost Rates'!$B$3,2))</f>
      </c>
      <c r="J356" s="11">
        <f>IF(D356="","",'Cost Rates'!$B$4)</f>
      </c>
      <c r="K356" s="11">
        <f>IF(D356="","",SUM(G356,H356,I356,J356))</f>
      </c>
      <c r="L356" s="11">
        <f>IF(D356="","",D356-K356)</f>
      </c>
      <c r="M356" s="12">
        <f>IF(OR(D356="",D356=0),"",L356/D356)</f>
      </c>
      <c r="N356" s="11">
        <f>IF((E356+F356)=0,"",ROUND(L356/((E356+F356)/60),2))</f>
      </c>
    </row>
    <row r="357">
      <c r="I357" s="11">
        <f>IF(E357="","",ROUND(((E357+F357)/60)*'Cost Rates'!$B$3,2))</f>
      </c>
      <c r="J357" s="11">
        <f>IF(D357="","",'Cost Rates'!$B$4)</f>
      </c>
      <c r="K357" s="11">
        <f>IF(D357="","",SUM(G357,H357,I357,J357))</f>
      </c>
      <c r="L357" s="11">
        <f>IF(D357="","",D357-K357)</f>
      </c>
      <c r="M357" s="12">
        <f>IF(OR(D357="",D357=0),"",L357/D357)</f>
      </c>
      <c r="N357" s="11">
        <f>IF((E357+F357)=0,"",ROUND(L357/((E357+F357)/60),2))</f>
      </c>
    </row>
    <row r="358">
      <c r="I358" s="11">
        <f>IF(E358="","",ROUND(((E358+F358)/60)*'Cost Rates'!$B$3,2))</f>
      </c>
      <c r="J358" s="11">
        <f>IF(D358="","",'Cost Rates'!$B$4)</f>
      </c>
      <c r="K358" s="11">
        <f>IF(D358="","",SUM(G358,H358,I358,J358))</f>
      </c>
      <c r="L358" s="11">
        <f>IF(D358="","",D358-K358)</f>
      </c>
      <c r="M358" s="12">
        <f>IF(OR(D358="",D358=0),"",L358/D358)</f>
      </c>
      <c r="N358" s="11">
        <f>IF((E358+F358)=0,"",ROUND(L358/((E358+F358)/60),2))</f>
      </c>
    </row>
    <row r="359">
      <c r="I359" s="11">
        <f>IF(E359="","",ROUND(((E359+F359)/60)*'Cost Rates'!$B$3,2))</f>
      </c>
      <c r="J359" s="11">
        <f>IF(D359="","",'Cost Rates'!$B$4)</f>
      </c>
      <c r="K359" s="11">
        <f>IF(D359="","",SUM(G359,H359,I359,J359))</f>
      </c>
      <c r="L359" s="11">
        <f>IF(D359="","",D359-K359)</f>
      </c>
      <c r="M359" s="12">
        <f>IF(OR(D359="",D359=0),"",L359/D359)</f>
      </c>
      <c r="N359" s="11">
        <f>IF((E359+F359)=0,"",ROUND(L359/((E359+F359)/60),2))</f>
      </c>
    </row>
    <row r="360">
      <c r="I360" s="11">
        <f>IF(E360="","",ROUND(((E360+F360)/60)*'Cost Rates'!$B$3,2))</f>
      </c>
      <c r="J360" s="11">
        <f>IF(D360="","",'Cost Rates'!$B$4)</f>
      </c>
      <c r="K360" s="11">
        <f>IF(D360="","",SUM(G360,H360,I360,J360))</f>
      </c>
      <c r="L360" s="11">
        <f>IF(D360="","",D360-K360)</f>
      </c>
      <c r="M360" s="12">
        <f>IF(OR(D360="",D360=0),"",L360/D360)</f>
      </c>
      <c r="N360" s="11">
        <f>IF((E360+F360)=0,"",ROUND(L360/((E360+F360)/60),2))</f>
      </c>
    </row>
    <row r="361">
      <c r="I361" s="11">
        <f>IF(E361="","",ROUND(((E361+F361)/60)*'Cost Rates'!$B$3,2))</f>
      </c>
      <c r="J361" s="11">
        <f>IF(D361="","",'Cost Rates'!$B$4)</f>
      </c>
      <c r="K361" s="11">
        <f>IF(D361="","",SUM(G361,H361,I361,J361))</f>
      </c>
      <c r="L361" s="11">
        <f>IF(D361="","",D361-K361)</f>
      </c>
      <c r="M361" s="12">
        <f>IF(OR(D361="",D361=0),"",L361/D361)</f>
      </c>
      <c r="N361" s="11">
        <f>IF((E361+F361)=0,"",ROUND(L361/((E361+F361)/60),2))</f>
      </c>
    </row>
    <row r="362">
      <c r="I362" s="11">
        <f>IF(E362="","",ROUND(((E362+F362)/60)*'Cost Rates'!$B$3,2))</f>
      </c>
      <c r="J362" s="11">
        <f>IF(D362="","",'Cost Rates'!$B$4)</f>
      </c>
      <c r="K362" s="11">
        <f>IF(D362="","",SUM(G362,H362,I362,J362))</f>
      </c>
      <c r="L362" s="11">
        <f>IF(D362="","",D362-K362)</f>
      </c>
      <c r="M362" s="12">
        <f>IF(OR(D362="",D362=0),"",L362/D362)</f>
      </c>
      <c r="N362" s="11">
        <f>IF((E362+F362)=0,"",ROUND(L362/((E362+F362)/60),2))</f>
      </c>
    </row>
    <row r="363">
      <c r="I363" s="11">
        <f>IF(E363="","",ROUND(((E363+F363)/60)*'Cost Rates'!$B$3,2))</f>
      </c>
      <c r="J363" s="11">
        <f>IF(D363="","",'Cost Rates'!$B$4)</f>
      </c>
      <c r="K363" s="11">
        <f>IF(D363="","",SUM(G363,H363,I363,J363))</f>
      </c>
      <c r="L363" s="11">
        <f>IF(D363="","",D363-K363)</f>
      </c>
      <c r="M363" s="12">
        <f>IF(OR(D363="",D363=0),"",L363/D363)</f>
      </c>
      <c r="N363" s="11">
        <f>IF((E363+F363)=0,"",ROUND(L363/((E363+F363)/60),2))</f>
      </c>
    </row>
    <row r="364">
      <c r="I364" s="11">
        <f>IF(E364="","",ROUND(((E364+F364)/60)*'Cost Rates'!$B$3,2))</f>
      </c>
      <c r="J364" s="11">
        <f>IF(D364="","",'Cost Rates'!$B$4)</f>
      </c>
      <c r="K364" s="11">
        <f>IF(D364="","",SUM(G364,H364,I364,J364))</f>
      </c>
      <c r="L364" s="11">
        <f>IF(D364="","",D364-K364)</f>
      </c>
      <c r="M364" s="12">
        <f>IF(OR(D364="",D364=0),"",L364/D364)</f>
      </c>
      <c r="N364" s="11">
        <f>IF((E364+F364)=0,"",ROUND(L364/((E364+F364)/60),2))</f>
      </c>
    </row>
    <row r="365">
      <c r="I365" s="11">
        <f>IF(E365="","",ROUND(((E365+F365)/60)*'Cost Rates'!$B$3,2))</f>
      </c>
      <c r="J365" s="11">
        <f>IF(D365="","",'Cost Rates'!$B$4)</f>
      </c>
      <c r="K365" s="11">
        <f>IF(D365="","",SUM(G365,H365,I365,J365))</f>
      </c>
      <c r="L365" s="11">
        <f>IF(D365="","",D365-K365)</f>
      </c>
      <c r="M365" s="12">
        <f>IF(OR(D365="",D365=0),"",L365/D365)</f>
      </c>
      <c r="N365" s="11">
        <f>IF((E365+F365)=0,"",ROUND(L365/((E365+F365)/60),2))</f>
      </c>
    </row>
    <row r="366">
      <c r="I366" s="11">
        <f>IF(E366="","",ROUND(((E366+F366)/60)*'Cost Rates'!$B$3,2))</f>
      </c>
      <c r="J366" s="11">
        <f>IF(D366="","",'Cost Rates'!$B$4)</f>
      </c>
      <c r="K366" s="11">
        <f>IF(D366="","",SUM(G366,H366,I366,J366))</f>
      </c>
      <c r="L366" s="11">
        <f>IF(D366="","",D366-K366)</f>
      </c>
      <c r="M366" s="12">
        <f>IF(OR(D366="",D366=0),"",L366/D366)</f>
      </c>
      <c r="N366" s="11">
        <f>IF((E366+F366)=0,"",ROUND(L366/((E366+F366)/60),2))</f>
      </c>
    </row>
    <row r="367">
      <c r="I367" s="11">
        <f>IF(E367="","",ROUND(((E367+F367)/60)*'Cost Rates'!$B$3,2))</f>
      </c>
      <c r="J367" s="11">
        <f>IF(D367="","",'Cost Rates'!$B$4)</f>
      </c>
      <c r="K367" s="11">
        <f>IF(D367="","",SUM(G367,H367,I367,J367))</f>
      </c>
      <c r="L367" s="11">
        <f>IF(D367="","",D367-K367)</f>
      </c>
      <c r="M367" s="12">
        <f>IF(OR(D367="",D367=0),"",L367/D367)</f>
      </c>
      <c r="N367" s="11">
        <f>IF((E367+F367)=0,"",ROUND(L367/((E367+F367)/60),2))</f>
      </c>
    </row>
    <row r="368">
      <c r="I368" s="11">
        <f>IF(E368="","",ROUND(((E368+F368)/60)*'Cost Rates'!$B$3,2))</f>
      </c>
      <c r="J368" s="11">
        <f>IF(D368="","",'Cost Rates'!$B$4)</f>
      </c>
      <c r="K368" s="11">
        <f>IF(D368="","",SUM(G368,H368,I368,J368))</f>
      </c>
      <c r="L368" s="11">
        <f>IF(D368="","",D368-K368)</f>
      </c>
      <c r="M368" s="12">
        <f>IF(OR(D368="",D368=0),"",L368/D368)</f>
      </c>
      <c r="N368" s="11">
        <f>IF((E368+F368)=0,"",ROUND(L368/((E368+F368)/60),2))</f>
      </c>
    </row>
    <row r="369">
      <c r="I369" s="11">
        <f>IF(E369="","",ROUND(((E369+F369)/60)*'Cost Rates'!$B$3,2))</f>
      </c>
      <c r="J369" s="11">
        <f>IF(D369="","",'Cost Rates'!$B$4)</f>
      </c>
      <c r="K369" s="11">
        <f>IF(D369="","",SUM(G369,H369,I369,J369))</f>
      </c>
      <c r="L369" s="11">
        <f>IF(D369="","",D369-K369)</f>
      </c>
      <c r="M369" s="12">
        <f>IF(OR(D369="",D369=0),"",L369/D369)</f>
      </c>
      <c r="N369" s="11">
        <f>IF((E369+F369)=0,"",ROUND(L369/((E369+F369)/60),2))</f>
      </c>
    </row>
    <row r="370">
      <c r="I370" s="11">
        <f>IF(E370="","",ROUND(((E370+F370)/60)*'Cost Rates'!$B$3,2))</f>
      </c>
      <c r="J370" s="11">
        <f>IF(D370="","",'Cost Rates'!$B$4)</f>
      </c>
      <c r="K370" s="11">
        <f>IF(D370="","",SUM(G370,H370,I370,J370))</f>
      </c>
      <c r="L370" s="11">
        <f>IF(D370="","",D370-K370)</f>
      </c>
      <c r="M370" s="12">
        <f>IF(OR(D370="",D370=0),"",L370/D370)</f>
      </c>
      <c r="N370" s="11">
        <f>IF((E370+F370)=0,"",ROUND(L370/((E370+F370)/60),2))</f>
      </c>
    </row>
    <row r="371">
      <c r="I371" s="11">
        <f>IF(E371="","",ROUND(((E371+F371)/60)*'Cost Rates'!$B$3,2))</f>
      </c>
      <c r="J371" s="11">
        <f>IF(D371="","",'Cost Rates'!$B$4)</f>
      </c>
      <c r="K371" s="11">
        <f>IF(D371="","",SUM(G371,H371,I371,J371))</f>
      </c>
      <c r="L371" s="11">
        <f>IF(D371="","",D371-K371)</f>
      </c>
      <c r="M371" s="12">
        <f>IF(OR(D371="",D371=0),"",L371/D371)</f>
      </c>
      <c r="N371" s="11">
        <f>IF((E371+F371)=0,"",ROUND(L371/((E371+F371)/60),2))</f>
      </c>
    </row>
    <row r="372">
      <c r="I372" s="11">
        <f>IF(E372="","",ROUND(((E372+F372)/60)*'Cost Rates'!$B$3,2))</f>
      </c>
      <c r="J372" s="11">
        <f>IF(D372="","",'Cost Rates'!$B$4)</f>
      </c>
      <c r="K372" s="11">
        <f>IF(D372="","",SUM(G372,H372,I372,J372))</f>
      </c>
      <c r="L372" s="11">
        <f>IF(D372="","",D372-K372)</f>
      </c>
      <c r="M372" s="12">
        <f>IF(OR(D372="",D372=0),"",L372/D372)</f>
      </c>
      <c r="N372" s="11">
        <f>IF((E372+F372)=0,"",ROUND(L372/((E372+F372)/60),2))</f>
      </c>
    </row>
    <row r="373">
      <c r="I373" s="11">
        <f>IF(E373="","",ROUND(((E373+F373)/60)*'Cost Rates'!$B$3,2))</f>
      </c>
      <c r="J373" s="11">
        <f>IF(D373="","",'Cost Rates'!$B$4)</f>
      </c>
      <c r="K373" s="11">
        <f>IF(D373="","",SUM(G373,H373,I373,J373))</f>
      </c>
      <c r="L373" s="11">
        <f>IF(D373="","",D373-K373)</f>
      </c>
      <c r="M373" s="12">
        <f>IF(OR(D373="",D373=0),"",L373/D373)</f>
      </c>
      <c r="N373" s="11">
        <f>IF((E373+F373)=0,"",ROUND(L373/((E373+F373)/60),2))</f>
      </c>
    </row>
    <row r="374">
      <c r="I374" s="11">
        <f>IF(E374="","",ROUND(((E374+F374)/60)*'Cost Rates'!$B$3,2))</f>
      </c>
      <c r="J374" s="11">
        <f>IF(D374="","",'Cost Rates'!$B$4)</f>
      </c>
      <c r="K374" s="11">
        <f>IF(D374="","",SUM(G374,H374,I374,J374))</f>
      </c>
      <c r="L374" s="11">
        <f>IF(D374="","",D374-K374)</f>
      </c>
      <c r="M374" s="12">
        <f>IF(OR(D374="",D374=0),"",L374/D374)</f>
      </c>
      <c r="N374" s="11">
        <f>IF((E374+F374)=0,"",ROUND(L374/((E374+F374)/60),2))</f>
      </c>
    </row>
    <row r="375">
      <c r="I375" s="11">
        <f>IF(E375="","",ROUND(((E375+F375)/60)*'Cost Rates'!$B$3,2))</f>
      </c>
      <c r="J375" s="11">
        <f>IF(D375="","",'Cost Rates'!$B$4)</f>
      </c>
      <c r="K375" s="11">
        <f>IF(D375="","",SUM(G375,H375,I375,J375))</f>
      </c>
      <c r="L375" s="11">
        <f>IF(D375="","",D375-K375)</f>
      </c>
      <c r="M375" s="12">
        <f>IF(OR(D375="",D375=0),"",L375/D375)</f>
      </c>
      <c r="N375" s="11">
        <f>IF((E375+F375)=0,"",ROUND(L375/((E375+F375)/60),2))</f>
      </c>
    </row>
    <row r="376">
      <c r="I376" s="11">
        <f>IF(E376="","",ROUND(((E376+F376)/60)*'Cost Rates'!$B$3,2))</f>
      </c>
      <c r="J376" s="11">
        <f>IF(D376="","",'Cost Rates'!$B$4)</f>
      </c>
      <c r="K376" s="11">
        <f>IF(D376="","",SUM(G376,H376,I376,J376))</f>
      </c>
      <c r="L376" s="11">
        <f>IF(D376="","",D376-K376)</f>
      </c>
      <c r="M376" s="12">
        <f>IF(OR(D376="",D376=0),"",L376/D376)</f>
      </c>
      <c r="N376" s="11">
        <f>IF((E376+F376)=0,"",ROUND(L376/((E376+F376)/60),2))</f>
      </c>
    </row>
    <row r="377">
      <c r="I377" s="11">
        <f>IF(E377="","",ROUND(((E377+F377)/60)*'Cost Rates'!$B$3,2))</f>
      </c>
      <c r="J377" s="11">
        <f>IF(D377="","",'Cost Rates'!$B$4)</f>
      </c>
      <c r="K377" s="11">
        <f>IF(D377="","",SUM(G377,H377,I377,J377))</f>
      </c>
      <c r="L377" s="11">
        <f>IF(D377="","",D377-K377)</f>
      </c>
      <c r="M377" s="12">
        <f>IF(OR(D377="",D377=0),"",L377/D377)</f>
      </c>
      <c r="N377" s="11">
        <f>IF((E377+F377)=0,"",ROUND(L377/((E377+F377)/60),2))</f>
      </c>
    </row>
    <row r="378">
      <c r="I378" s="11">
        <f>IF(E378="","",ROUND(((E378+F378)/60)*'Cost Rates'!$B$3,2))</f>
      </c>
      <c r="J378" s="11">
        <f>IF(D378="","",'Cost Rates'!$B$4)</f>
      </c>
      <c r="K378" s="11">
        <f>IF(D378="","",SUM(G378,H378,I378,J378))</f>
      </c>
      <c r="L378" s="11">
        <f>IF(D378="","",D378-K378)</f>
      </c>
      <c r="M378" s="12">
        <f>IF(OR(D378="",D378=0),"",L378/D378)</f>
      </c>
      <c r="N378" s="11">
        <f>IF((E378+F378)=0,"",ROUND(L378/((E378+F378)/60),2))</f>
      </c>
    </row>
    <row r="379">
      <c r="I379" s="11">
        <f>IF(E379="","",ROUND(((E379+F379)/60)*'Cost Rates'!$B$3,2))</f>
      </c>
      <c r="J379" s="11">
        <f>IF(D379="","",'Cost Rates'!$B$4)</f>
      </c>
      <c r="K379" s="11">
        <f>IF(D379="","",SUM(G379,H379,I379,J379))</f>
      </c>
      <c r="L379" s="11">
        <f>IF(D379="","",D379-K379)</f>
      </c>
      <c r="M379" s="12">
        <f>IF(OR(D379="",D379=0),"",L379/D379)</f>
      </c>
      <c r="N379" s="11">
        <f>IF((E379+F379)=0,"",ROUND(L379/((E379+F379)/60),2))</f>
      </c>
    </row>
    <row r="380">
      <c r="I380" s="11">
        <f>IF(E380="","",ROUND(((E380+F380)/60)*'Cost Rates'!$B$3,2))</f>
      </c>
      <c r="J380" s="11">
        <f>IF(D380="","",'Cost Rates'!$B$4)</f>
      </c>
      <c r="K380" s="11">
        <f>IF(D380="","",SUM(G380,H380,I380,J380))</f>
      </c>
      <c r="L380" s="11">
        <f>IF(D380="","",D380-K380)</f>
      </c>
      <c r="M380" s="12">
        <f>IF(OR(D380="",D380=0),"",L380/D380)</f>
      </c>
      <c r="N380" s="11">
        <f>IF((E380+F380)=0,"",ROUND(L380/((E380+F380)/60),2))</f>
      </c>
    </row>
    <row r="381">
      <c r="I381" s="11">
        <f>IF(E381="","",ROUND(((E381+F381)/60)*'Cost Rates'!$B$3,2))</f>
      </c>
      <c r="J381" s="11">
        <f>IF(D381="","",'Cost Rates'!$B$4)</f>
      </c>
      <c r="K381" s="11">
        <f>IF(D381="","",SUM(G381,H381,I381,J381))</f>
      </c>
      <c r="L381" s="11">
        <f>IF(D381="","",D381-K381)</f>
      </c>
      <c r="M381" s="12">
        <f>IF(OR(D381="",D381=0),"",L381/D381)</f>
      </c>
      <c r="N381" s="11">
        <f>IF((E381+F381)=0,"",ROUND(L381/((E381+F381)/60),2))</f>
      </c>
    </row>
    <row r="382">
      <c r="I382" s="11">
        <f>IF(E382="","",ROUND(((E382+F382)/60)*'Cost Rates'!$B$3,2))</f>
      </c>
      <c r="J382" s="11">
        <f>IF(D382="","",'Cost Rates'!$B$4)</f>
      </c>
      <c r="K382" s="11">
        <f>IF(D382="","",SUM(G382,H382,I382,J382))</f>
      </c>
      <c r="L382" s="11">
        <f>IF(D382="","",D382-K382)</f>
      </c>
      <c r="M382" s="12">
        <f>IF(OR(D382="",D382=0),"",L382/D382)</f>
      </c>
      <c r="N382" s="11">
        <f>IF((E382+F382)=0,"",ROUND(L382/((E382+F382)/60),2))</f>
      </c>
    </row>
    <row r="383">
      <c r="I383" s="11">
        <f>IF(E383="","",ROUND(((E383+F383)/60)*'Cost Rates'!$B$3,2))</f>
      </c>
      <c r="J383" s="11">
        <f>IF(D383="","",'Cost Rates'!$B$4)</f>
      </c>
      <c r="K383" s="11">
        <f>IF(D383="","",SUM(G383,H383,I383,J383))</f>
      </c>
      <c r="L383" s="11">
        <f>IF(D383="","",D383-K383)</f>
      </c>
      <c r="M383" s="12">
        <f>IF(OR(D383="",D383=0),"",L383/D383)</f>
      </c>
      <c r="N383" s="11">
        <f>IF((E383+F383)=0,"",ROUND(L383/((E383+F383)/60),2))</f>
      </c>
    </row>
    <row r="384">
      <c r="I384" s="11">
        <f>IF(E384="","",ROUND(((E384+F384)/60)*'Cost Rates'!$B$3,2))</f>
      </c>
      <c r="J384" s="11">
        <f>IF(D384="","",'Cost Rates'!$B$4)</f>
      </c>
      <c r="K384" s="11">
        <f>IF(D384="","",SUM(G384,H384,I384,J384))</f>
      </c>
      <c r="L384" s="11">
        <f>IF(D384="","",D384-K384)</f>
      </c>
      <c r="M384" s="12">
        <f>IF(OR(D384="",D384=0),"",L384/D384)</f>
      </c>
      <c r="N384" s="11">
        <f>IF((E384+F384)=0,"",ROUND(L384/((E384+F384)/60),2))</f>
      </c>
    </row>
    <row r="385">
      <c r="I385" s="11">
        <f>IF(E385="","",ROUND(((E385+F385)/60)*'Cost Rates'!$B$3,2))</f>
      </c>
      <c r="J385" s="11">
        <f>IF(D385="","",'Cost Rates'!$B$4)</f>
      </c>
      <c r="K385" s="11">
        <f>IF(D385="","",SUM(G385,H385,I385,J385))</f>
      </c>
      <c r="L385" s="11">
        <f>IF(D385="","",D385-K385)</f>
      </c>
      <c r="M385" s="12">
        <f>IF(OR(D385="",D385=0),"",L385/D385)</f>
      </c>
      <c r="N385" s="11">
        <f>IF((E385+F385)=0,"",ROUND(L385/((E385+F385)/60),2))</f>
      </c>
    </row>
    <row r="386">
      <c r="I386" s="11">
        <f>IF(E386="","",ROUND(((E386+F386)/60)*'Cost Rates'!$B$3,2))</f>
      </c>
      <c r="J386" s="11">
        <f>IF(D386="","",'Cost Rates'!$B$4)</f>
      </c>
      <c r="K386" s="11">
        <f>IF(D386="","",SUM(G386,H386,I386,J386))</f>
      </c>
      <c r="L386" s="11">
        <f>IF(D386="","",D386-K386)</f>
      </c>
      <c r="M386" s="12">
        <f>IF(OR(D386="",D386=0),"",L386/D386)</f>
      </c>
      <c r="N386" s="11">
        <f>IF((E386+F386)=0,"",ROUND(L386/((E386+F386)/60),2))</f>
      </c>
    </row>
    <row r="387">
      <c r="I387" s="11">
        <f>IF(E387="","",ROUND(((E387+F387)/60)*'Cost Rates'!$B$3,2))</f>
      </c>
      <c r="J387" s="11">
        <f>IF(D387="","",'Cost Rates'!$B$4)</f>
      </c>
      <c r="K387" s="11">
        <f>IF(D387="","",SUM(G387,H387,I387,J387))</f>
      </c>
      <c r="L387" s="11">
        <f>IF(D387="","",D387-K387)</f>
      </c>
      <c r="M387" s="12">
        <f>IF(OR(D387="",D387=0),"",L387/D387)</f>
      </c>
      <c r="N387" s="11">
        <f>IF((E387+F387)=0,"",ROUND(L387/((E387+F387)/60),2))</f>
      </c>
    </row>
    <row r="388">
      <c r="I388" s="11">
        <f>IF(E388="","",ROUND(((E388+F388)/60)*'Cost Rates'!$B$3,2))</f>
      </c>
      <c r="J388" s="11">
        <f>IF(D388="","",'Cost Rates'!$B$4)</f>
      </c>
      <c r="K388" s="11">
        <f>IF(D388="","",SUM(G388,H388,I388,J388))</f>
      </c>
      <c r="L388" s="11">
        <f>IF(D388="","",D388-K388)</f>
      </c>
      <c r="M388" s="12">
        <f>IF(OR(D388="",D388=0),"",L388/D388)</f>
      </c>
      <c r="N388" s="11">
        <f>IF((E388+F388)=0,"",ROUND(L388/((E388+F388)/60),2))</f>
      </c>
    </row>
    <row r="389">
      <c r="I389" s="11">
        <f>IF(E389="","",ROUND(((E389+F389)/60)*'Cost Rates'!$B$3,2))</f>
      </c>
      <c r="J389" s="11">
        <f>IF(D389="","",'Cost Rates'!$B$4)</f>
      </c>
      <c r="K389" s="11">
        <f>IF(D389="","",SUM(G389,H389,I389,J389))</f>
      </c>
      <c r="L389" s="11">
        <f>IF(D389="","",D389-K389)</f>
      </c>
      <c r="M389" s="12">
        <f>IF(OR(D389="",D389=0),"",L389/D389)</f>
      </c>
      <c r="N389" s="11">
        <f>IF((E389+F389)=0,"",ROUND(L389/((E389+F389)/60),2))</f>
      </c>
    </row>
    <row r="390">
      <c r="I390" s="11">
        <f>IF(E390="","",ROUND(((E390+F390)/60)*'Cost Rates'!$B$3,2))</f>
      </c>
      <c r="J390" s="11">
        <f>IF(D390="","",'Cost Rates'!$B$4)</f>
      </c>
      <c r="K390" s="11">
        <f>IF(D390="","",SUM(G390,H390,I390,J390))</f>
      </c>
      <c r="L390" s="11">
        <f>IF(D390="","",D390-K390)</f>
      </c>
      <c r="M390" s="12">
        <f>IF(OR(D390="",D390=0),"",L390/D390)</f>
      </c>
      <c r="N390" s="11">
        <f>IF((E390+F390)=0,"",ROUND(L390/((E390+F390)/60),2))</f>
      </c>
    </row>
    <row r="391">
      <c r="I391" s="11">
        <f>IF(E391="","",ROUND(((E391+F391)/60)*'Cost Rates'!$B$3,2))</f>
      </c>
      <c r="J391" s="11">
        <f>IF(D391="","",'Cost Rates'!$B$4)</f>
      </c>
      <c r="K391" s="11">
        <f>IF(D391="","",SUM(G391,H391,I391,J391))</f>
      </c>
      <c r="L391" s="11">
        <f>IF(D391="","",D391-K391)</f>
      </c>
      <c r="M391" s="12">
        <f>IF(OR(D391="",D391=0),"",L391/D391)</f>
      </c>
      <c r="N391" s="11">
        <f>IF((E391+F391)=0,"",ROUND(L391/((E391+F391)/60),2))</f>
      </c>
    </row>
    <row r="392">
      <c r="I392" s="11">
        <f>IF(E392="","",ROUND(((E392+F392)/60)*'Cost Rates'!$B$3,2))</f>
      </c>
      <c r="J392" s="11">
        <f>IF(D392="","",'Cost Rates'!$B$4)</f>
      </c>
      <c r="K392" s="11">
        <f>IF(D392="","",SUM(G392,H392,I392,J392))</f>
      </c>
      <c r="L392" s="11">
        <f>IF(D392="","",D392-K392)</f>
      </c>
      <c r="M392" s="12">
        <f>IF(OR(D392="",D392=0),"",L392/D392)</f>
      </c>
      <c r="N392" s="11">
        <f>IF((E392+F392)=0,"",ROUND(L392/((E392+F392)/60),2))</f>
      </c>
    </row>
    <row r="393">
      <c r="I393" s="11">
        <f>IF(E393="","",ROUND(((E393+F393)/60)*'Cost Rates'!$B$3,2))</f>
      </c>
      <c r="J393" s="11">
        <f>IF(D393="","",'Cost Rates'!$B$4)</f>
      </c>
      <c r="K393" s="11">
        <f>IF(D393="","",SUM(G393,H393,I393,J393))</f>
      </c>
      <c r="L393" s="11">
        <f>IF(D393="","",D393-K393)</f>
      </c>
      <c r="M393" s="12">
        <f>IF(OR(D393="",D393=0),"",L393/D393)</f>
      </c>
      <c r="N393" s="11">
        <f>IF((E393+F393)=0,"",ROUND(L393/((E393+F393)/60),2))</f>
      </c>
    </row>
    <row r="394">
      <c r="I394" s="11">
        <f>IF(E394="","",ROUND(((E394+F394)/60)*'Cost Rates'!$B$3,2))</f>
      </c>
      <c r="J394" s="11">
        <f>IF(D394="","",'Cost Rates'!$B$4)</f>
      </c>
      <c r="K394" s="11">
        <f>IF(D394="","",SUM(G394,H394,I394,J394))</f>
      </c>
      <c r="L394" s="11">
        <f>IF(D394="","",D394-K394)</f>
      </c>
      <c r="M394" s="12">
        <f>IF(OR(D394="",D394=0),"",L394/D394)</f>
      </c>
      <c r="N394" s="11">
        <f>IF((E394+F394)=0,"",ROUND(L394/((E394+F394)/60),2))</f>
      </c>
    </row>
    <row r="395">
      <c r="I395" s="11">
        <f>IF(E395="","",ROUND(((E395+F395)/60)*'Cost Rates'!$B$3,2))</f>
      </c>
      <c r="J395" s="11">
        <f>IF(D395="","",'Cost Rates'!$B$4)</f>
      </c>
      <c r="K395" s="11">
        <f>IF(D395="","",SUM(G395,H395,I395,J395))</f>
      </c>
      <c r="L395" s="11">
        <f>IF(D395="","",D395-K395)</f>
      </c>
      <c r="M395" s="12">
        <f>IF(OR(D395="",D395=0),"",L395/D395)</f>
      </c>
      <c r="N395" s="11">
        <f>IF((E395+F395)=0,"",ROUND(L395/((E395+F395)/60),2))</f>
      </c>
    </row>
    <row r="396">
      <c r="I396" s="11">
        <f>IF(E396="","",ROUND(((E396+F396)/60)*'Cost Rates'!$B$3,2))</f>
      </c>
      <c r="J396" s="11">
        <f>IF(D396="","",'Cost Rates'!$B$4)</f>
      </c>
      <c r="K396" s="11">
        <f>IF(D396="","",SUM(G396,H396,I396,J396))</f>
      </c>
      <c r="L396" s="11">
        <f>IF(D396="","",D396-K396)</f>
      </c>
      <c r="M396" s="12">
        <f>IF(OR(D396="",D396=0),"",L396/D396)</f>
      </c>
      <c r="N396" s="11">
        <f>IF((E396+F396)=0,"",ROUND(L396/((E396+F396)/60),2))</f>
      </c>
    </row>
    <row r="397">
      <c r="I397" s="11">
        <f>IF(E397="","",ROUND(((E397+F397)/60)*'Cost Rates'!$B$3,2))</f>
      </c>
      <c r="J397" s="11">
        <f>IF(D397="","",'Cost Rates'!$B$4)</f>
      </c>
      <c r="K397" s="11">
        <f>IF(D397="","",SUM(G397,H397,I397,J397))</f>
      </c>
      <c r="L397" s="11">
        <f>IF(D397="","",D397-K397)</f>
      </c>
      <c r="M397" s="12">
        <f>IF(OR(D397="",D397=0),"",L397/D397)</f>
      </c>
      <c r="N397" s="11">
        <f>IF((E397+F397)=0,"",ROUND(L397/((E397+F397)/60),2))</f>
      </c>
    </row>
    <row r="398">
      <c r="I398" s="11">
        <f>IF(E398="","",ROUND(((E398+F398)/60)*'Cost Rates'!$B$3,2))</f>
      </c>
      <c r="J398" s="11">
        <f>IF(D398="","",'Cost Rates'!$B$4)</f>
      </c>
      <c r="K398" s="11">
        <f>IF(D398="","",SUM(G398,H398,I398,J398))</f>
      </c>
      <c r="L398" s="11">
        <f>IF(D398="","",D398-K398)</f>
      </c>
      <c r="M398" s="12">
        <f>IF(OR(D398="",D398=0),"",L398/D398)</f>
      </c>
      <c r="N398" s="11">
        <f>IF((E398+F398)=0,"",ROUND(L398/((E398+F398)/60),2))</f>
      </c>
    </row>
    <row r="399">
      <c r="I399" s="11">
        <f>IF(E399="","",ROUND(((E399+F399)/60)*'Cost Rates'!$B$3,2))</f>
      </c>
      <c r="J399" s="11">
        <f>IF(D399="","",'Cost Rates'!$B$4)</f>
      </c>
      <c r="K399" s="11">
        <f>IF(D399="","",SUM(G399,H399,I399,J399))</f>
      </c>
      <c r="L399" s="11">
        <f>IF(D399="","",D399-K399)</f>
      </c>
      <c r="M399" s="12">
        <f>IF(OR(D399="",D399=0),"",L399/D399)</f>
      </c>
      <c r="N399" s="11">
        <f>IF((E399+F399)=0,"",ROUND(L399/((E399+F399)/60),2))</f>
      </c>
    </row>
    <row r="400">
      <c r="I400" s="11">
        <f>IF(E400="","",ROUND(((E400+F400)/60)*'Cost Rates'!$B$3,2))</f>
      </c>
      <c r="J400" s="11">
        <f>IF(D400="","",'Cost Rates'!$B$4)</f>
      </c>
      <c r="K400" s="11">
        <f>IF(D400="","",SUM(G400,H400,I400,J400))</f>
      </c>
      <c r="L400" s="11">
        <f>IF(D400="","",D400-K400)</f>
      </c>
      <c r="M400" s="12">
        <f>IF(OR(D400="",D400=0),"",L400/D400)</f>
      </c>
      <c r="N400" s="11">
        <f>IF((E400+F400)=0,"",ROUND(L400/((E400+F400)/60),2))</f>
      </c>
    </row>
  </sheetData>
  <autoFilter ref="A1:N400"/>
  <conditionalFormatting sqref="M2:M400">
    <cfRule type="cellIs" dxfId="1" priority="1" operator="lessThan">
      <formula>0.25</formula>
    </cfRule>
    <cfRule type="cellIs" dxfId="0" priority="2" operator="greaterThanOrEqual">
      <formula>0.45</formula>
    </cfRule>
  </conditionalFormatting>
</worksheet>
</file>

<file path=xl/worksheets/sheet3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4" customWidth="1"/>
    <col min="3" max="3" width="62" customWidth="1"/>
  </cols>
  <sheetData>
    <row r="1">
      <c r="A1" s="2" t="inlineStr">
        <is>
          <t xml:space="preserve">COST RATES — set these once, revisit quarterly</t>
        </is>
      </c>
      <c r="B1" s="2" t="inlineStr">
        <is>
          <t xml:space="preserve"/>
        </is>
      </c>
      <c r="C1" s="2" t="inlineStr">
        <is>
          <t xml:space="preserve"/>
        </is>
      </c>
    </row>
    <row r="3">
      <c r="A3" s="3" t="inlineStr">
        <is>
          <t xml:space="preserve">Labor cost per hour ($)</t>
        </is>
      </c>
      <c r="B3" s="6">
        <v>24</v>
      </c>
      <c r="C3" s="14" t="inlineStr">
        <is>
          <t xml:space="preserve">What the hour costs you. If you're solo, use what you'd pay someone to replace you — otherwise you'll think you're profitable when you've just worked for free.</t>
        </is>
      </c>
    </row>
    <row r="4">
      <c r="A4" s="3" t="inlineStr">
        <is>
          <t xml:space="preserve">Equipment reserve per stop ($)</t>
        </is>
      </c>
      <c r="B4" s="6">
        <v>4</v>
      </c>
      <c r="C4" s="14" t="inlineStr">
        <is>
          <t xml:space="preserve">Mowers, trimmers, and blades wear out on a schedule. Charge yourself now so June's repair isn't a crisis.</t>
        </is>
      </c>
    </row>
    <row r="7">
      <c r="A7" s="2" t="inlineStr">
        <is>
          <t xml:space="preserve">TOTALS</t>
        </is>
      </c>
      <c r="B7" s="2" t="inlineStr">
        <is>
          <t xml:space="preserve"/>
        </is>
      </c>
      <c r="C7" s="2" t="inlineStr">
        <is>
          <t xml:space="preserve"/>
        </is>
      </c>
    </row>
    <row r="8">
      <c r="A8" s="3" t="inlineStr">
        <is>
          <t xml:space="preserve">Visits costed</t>
        </is>
      </c>
      <c r="B8" s="9">
        <f>COUNT('Visit Log'!D2:D400)</f>
      </c>
    </row>
    <row r="9">
      <c r="A9" s="3" t="inlineStr">
        <is>
          <t xml:space="preserve">Total revenue</t>
        </is>
      </c>
      <c r="B9" s="11">
        <f>SUM('Visit Log'!D2:D400)</f>
      </c>
    </row>
    <row r="10">
      <c r="A10" s="3" t="inlineStr">
        <is>
          <t xml:space="preserve">Total cost</t>
        </is>
      </c>
      <c r="B10" s="11">
        <f>SUM('Visit Log'!K2:K400)</f>
      </c>
    </row>
    <row r="11">
      <c r="A11" s="3" t="inlineStr">
        <is>
          <t xml:space="preserve">Total profit</t>
        </is>
      </c>
      <c r="B11" s="11">
        <f>SUM('Visit Log'!L2:L400)</f>
      </c>
    </row>
    <row r="12">
      <c r="A12" s="3" t="inlineStr">
        <is>
          <t xml:space="preserve">Average margin</t>
        </is>
      </c>
      <c r="B12" s="12">
        <f>IFERROR(AVERAGE('Visit Log'!M2:M400),"")</f>
      </c>
    </row>
    <row r="13">
      <c r="A13" s="3" t="inlineStr">
        <is>
          <t xml:space="preserve">Average true $/hr</t>
        </is>
      </c>
      <c r="B13" s="11">
        <f>IFERROR(AVERAGE('Visit Log'!N2:N400),"")</f>
      </c>
    </row>
    <row r="15">
      <c r="A15" s="14" t="inlineStr">
        <is>
          <t xml:space="preserve">Margins under 25% show red on the Visit Log. If the same client is red every week, that is not a bad week — that's a price that stopped working. Raise it or release the stop.</t>
        </is>
      </c>
    </row>
  </sheetData>
  <mergeCells count="3">
    <mergeCell ref="A1:C1"/>
    <mergeCell ref="A7:C7"/>
    <mergeCell ref="A15:C15"/>
  </mergeCells>
</worksheet>
</file>